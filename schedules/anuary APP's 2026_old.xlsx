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h\Desktop\Waterfall\schedules\"/>
    </mc:Choice>
  </mc:AlternateContent>
  <xr:revisionPtr revIDLastSave="0" documentId="13_ncr:1_{1CDD8CA8-C116-4BBC-A377-AB63CF60F66B}" xr6:coauthVersionLast="47" xr6:coauthVersionMax="47" xr10:uidLastSave="{00000000-0000-0000-0000-000000000000}"/>
  <bookViews>
    <workbookView xWindow="19200" yWindow="0" windowWidth="19200" windowHeight="21000" tabRatio="719" activeTab="1" xr2:uid="{DFBDAB85-6C5D-462A-87A8-937A23E8A382}"/>
  </bookViews>
  <sheets>
    <sheet name="Chart1" sheetId="5" r:id="rId1"/>
    <sheet name="Sheet1" sheetId="1" r:id="rId2"/>
    <sheet name="Sheet2" sheetId="2" r:id="rId3"/>
    <sheet name="Sheet3" sheetId="3" r:id="rId4"/>
    <sheet name="Sheet4" sheetId="4" r:id="rId5"/>
  </sheets>
  <definedNames>
    <definedName name="_xlnm.Print_Area" localSheetId="1">Sheet1!$A$1:$W$56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D54" i="1"/>
  <c r="D56" i="1"/>
  <c r="E54" i="1"/>
  <c r="E56" i="1"/>
  <c r="F54" i="1"/>
  <c r="G54" i="1"/>
  <c r="H54" i="1"/>
  <c r="I54" i="1"/>
  <c r="I56" i="1"/>
  <c r="J54" i="1"/>
  <c r="J56" i="1"/>
  <c r="K54" i="1"/>
  <c r="K56" i="1"/>
  <c r="L54" i="1"/>
  <c r="L56" i="1"/>
  <c r="M54" i="1"/>
  <c r="M56" i="1"/>
  <c r="N54" i="1"/>
  <c r="N56" i="1"/>
  <c r="O54" i="1"/>
  <c r="O56" i="1"/>
  <c r="P54" i="1"/>
  <c r="P56" i="1"/>
  <c r="Q54" i="1"/>
  <c r="R54" i="1"/>
  <c r="S54" i="1"/>
  <c r="T54" i="1"/>
  <c r="T56" i="1"/>
  <c r="U54" i="1"/>
  <c r="U56" i="1"/>
  <c r="V54" i="1"/>
  <c r="V56" i="1"/>
  <c r="W54" i="1"/>
  <c r="W56" i="1" s="1"/>
  <c r="C56" i="1"/>
  <c r="F56" i="1"/>
  <c r="G56" i="1"/>
  <c r="H56" i="1"/>
  <c r="Q56" i="1"/>
  <c r="R56" i="1"/>
  <c r="S56" i="1"/>
</calcChain>
</file>

<file path=xl/sharedStrings.xml><?xml version="1.0" encoding="utf-8"?>
<sst xmlns="http://schemas.openxmlformats.org/spreadsheetml/2006/main" count="250" uniqueCount="90">
  <si>
    <t>CRNA</t>
  </si>
  <si>
    <t>MON</t>
  </si>
  <si>
    <t>TUE</t>
  </si>
  <si>
    <t>WED</t>
  </si>
  <si>
    <t>FRI</t>
  </si>
  <si>
    <t>THU</t>
  </si>
  <si>
    <t># NEEDED</t>
  </si>
  <si>
    <t>TARGET #</t>
  </si>
  <si>
    <t># CRNAS</t>
  </si>
  <si>
    <t>HOPFINGER, MAUREEN</t>
  </si>
  <si>
    <t>MUNCASTER, AMY</t>
  </si>
  <si>
    <t>SWIMM, LISA</t>
  </si>
  <si>
    <t>DELVECCHIO, EVA</t>
  </si>
  <si>
    <t>DAGHER, MANSOUR</t>
  </si>
  <si>
    <t xml:space="preserve">SHEPPLE, ALLAN </t>
  </si>
  <si>
    <t>BABYAK, MEAGAN</t>
  </si>
  <si>
    <t>KATZ, BRIAN</t>
  </si>
  <si>
    <t>MCDONALD, GREGORY</t>
  </si>
  <si>
    <t>VAZQUEZ, GRICELLE</t>
  </si>
  <si>
    <t>THANKSGIVING</t>
  </si>
  <si>
    <t>CHRISTMAS</t>
  </si>
  <si>
    <t>NEW YEAR</t>
  </si>
  <si>
    <t>HOLIDAYS OFF</t>
  </si>
  <si>
    <t>LF - 21-25</t>
  </si>
  <si>
    <t>GS - 21-25</t>
  </si>
  <si>
    <t>BB - 22</t>
  </si>
  <si>
    <t>JJ - 22-25</t>
  </si>
  <si>
    <t>CODRINGTON, MEGAN</t>
  </si>
  <si>
    <t>GABRIC, COREY</t>
  </si>
  <si>
    <t>BOZ, ANDRE</t>
  </si>
  <si>
    <t>SCHULTZ, JESSICA</t>
  </si>
  <si>
    <t>MORAES, MATHEUS</t>
  </si>
  <si>
    <t>WILLIAMS, ERVIN</t>
  </si>
  <si>
    <t>CAMERON, ORPHEE</t>
  </si>
  <si>
    <t>NAZAIRE, MAXO</t>
  </si>
  <si>
    <t>CEVALLOS, ASHLEY</t>
  </si>
  <si>
    <t>LALANI, AMIR</t>
  </si>
  <si>
    <t>AKHAVAN, SABRINA</t>
  </si>
  <si>
    <t>WILLIAMS, ALECIA</t>
  </si>
  <si>
    <t>SOLTIS, SAMANTHA</t>
  </si>
  <si>
    <t>HAYWORTH, SCOTT</t>
  </si>
  <si>
    <t>VALENTINE, LAURA</t>
  </si>
  <si>
    <t>SHAPIRO, JORDAN</t>
  </si>
  <si>
    <t>RIPPY, JOHN</t>
  </si>
  <si>
    <t>MAZZA, LUCIA</t>
  </si>
  <si>
    <t>SOOKNANAN, VANITA</t>
  </si>
  <si>
    <t>MARTIN, COURTNEY</t>
  </si>
  <si>
    <t>HAMADE, SAHAR</t>
  </si>
  <si>
    <t>PINLAC, MICHAEL</t>
  </si>
  <si>
    <t>DIAZ, CHRISTINA</t>
  </si>
  <si>
    <t>AUGUSTIN, GRETCHEN</t>
  </si>
  <si>
    <t>LYEW-AYEE, GAYLE</t>
  </si>
  <si>
    <t>GOORDEEN, CHRISTINE</t>
  </si>
  <si>
    <t>SAIDI-JOHNSON, CHERYL</t>
  </si>
  <si>
    <t>LEBLANC, ALYSSA</t>
  </si>
  <si>
    <t>DE FRANCISCO</t>
  </si>
  <si>
    <t>X</t>
  </si>
  <si>
    <t>SHAPIRO, PAYTON</t>
  </si>
  <si>
    <t>RUPIN, ANCY</t>
  </si>
  <si>
    <t>KATZ, KELLY</t>
  </si>
  <si>
    <t xml:space="preserve">PRATHER, JILL </t>
  </si>
  <si>
    <t>MILBERY, JENNIFER</t>
  </si>
  <si>
    <t>RAWLINGS, HEATHER</t>
  </si>
  <si>
    <t>OFF</t>
  </si>
  <si>
    <t>A</t>
  </si>
  <si>
    <t>ARAFA, LAMIA</t>
  </si>
  <si>
    <t xml:space="preserve">SCHMIDT, JOSHUA </t>
  </si>
  <si>
    <t>H</t>
  </si>
  <si>
    <t>N</t>
  </si>
  <si>
    <t>Y</t>
  </si>
  <si>
    <t>E</t>
  </si>
  <si>
    <t>R</t>
  </si>
  <si>
    <t>P</t>
  </si>
  <si>
    <t>W</t>
  </si>
  <si>
    <t>NAGANOOLIL, MARY</t>
  </si>
  <si>
    <t>GOORDEEN, VICTORIA</t>
  </si>
  <si>
    <t>JANUARY 2026</t>
  </si>
  <si>
    <t>ABRAMSON, MICHELLE</t>
  </si>
  <si>
    <t>8-2</t>
  </si>
  <si>
    <t>LATE</t>
  </si>
  <si>
    <t>9-2</t>
  </si>
  <si>
    <t>11-730</t>
  </si>
  <si>
    <t>UPT</t>
  </si>
  <si>
    <t>Extra shift</t>
  </si>
  <si>
    <t>730 shift</t>
  </si>
  <si>
    <t>LATE (9:30 not starting at 7a)</t>
  </si>
  <si>
    <t>930 shift</t>
  </si>
  <si>
    <t>(x) Set day off</t>
  </si>
  <si>
    <t>REVISED 12/23/2025</t>
  </si>
  <si>
    <t>8a-2p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</si>
</sst>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2"/>
      <name val="Calibri"/>
      <family val="2"/>
    </font>
    <font>
      <vertAlign val="superscript"/>
      <sz val="11"/>
      <name val="Calibri"/>
      <family val="2"/>
    </font>
    <font>
      <sz val="10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3" fillId="8" borderId="0" xfId="0" applyFont="1" applyFill="1"/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" fillId="7" borderId="3" xfId="0" applyFont="1" applyFill="1" applyBorder="1"/>
    <xf numFmtId="0" fontId="9" fillId="10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 applyAlignment="1">
      <alignment horizontal="center" vertical="center"/>
    </xf>
    <xf numFmtId="49" fontId="2" fillId="16" borderId="1" xfId="0" applyNumberFormat="1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10" fillId="12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7" borderId="0" xfId="0" applyFont="1" applyFill="1" applyAlignment="1">
      <alignment horizontal="left"/>
    </xf>
    <xf numFmtId="49" fontId="8" fillId="18" borderId="7" xfId="0" applyNumberFormat="1" applyFont="1" applyFill="1" applyBorder="1" applyAlignment="1">
      <alignment horizontal="center" vertical="center"/>
    </xf>
    <xf numFmtId="49" fontId="8" fillId="1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Sheet1!$A$53</c:f>
              <c:strCache>
                <c:ptCount val="1"/>
                <c:pt idx="0">
                  <c:v>MORAES, MATHEUS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9-2</c:v>
                  </c:pt>
                  <c:pt idx="1">
                    <c:v>9-2</c:v>
                  </c:pt>
                  <c:pt idx="2">
                    <c:v>9-2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Sheet1!$D$53:$H$53</c:f>
              <c:numCache>
                <c:formatCode>General</c:formatCode>
                <c:ptCount val="5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6-4769-994F-B14FEC4980EE}"/>
            </c:ext>
          </c:extLst>
        </c:ser>
        <c:ser>
          <c:idx val="1"/>
          <c:order val="1"/>
          <c:tx>
            <c:strRef>
              <c:f>Sheet1!$A$54</c:f>
              <c:strCache>
                <c:ptCount val="1"/>
                <c:pt idx="0">
                  <c:v># CRNAS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9-2</c:v>
                  </c:pt>
                  <c:pt idx="1">
                    <c:v>9-2</c:v>
                  </c:pt>
                  <c:pt idx="2">
                    <c:v>9-2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Sheet1!$D$54:$H$54</c:f>
              <c:numCache>
                <c:formatCode>General</c:formatCode>
                <c:ptCount val="5"/>
                <c:pt idx="0">
                  <c:v>24</c:v>
                </c:pt>
                <c:pt idx="1">
                  <c:v>22</c:v>
                </c:pt>
                <c:pt idx="2">
                  <c:v>24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6-4769-994F-B14FEC4980EE}"/>
            </c:ext>
          </c:extLst>
        </c:ser>
        <c:ser>
          <c:idx val="2"/>
          <c:order val="2"/>
          <c:tx>
            <c:strRef>
              <c:f>Sheet1!$A$55</c:f>
              <c:strCache>
                <c:ptCount val="1"/>
                <c:pt idx="0">
                  <c:v>TARGET #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9-2</c:v>
                  </c:pt>
                  <c:pt idx="1">
                    <c:v>9-2</c:v>
                  </c:pt>
                  <c:pt idx="2">
                    <c:v>9-2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Sheet1!$D$55:$H$55</c:f>
              <c:numCache>
                <c:formatCode>General</c:formatCode>
                <c:ptCount val="5"/>
                <c:pt idx="0">
                  <c:v>22</c:v>
                </c:pt>
                <c:pt idx="1">
                  <c:v>21</c:v>
                </c:pt>
                <c:pt idx="2">
                  <c:v>25</c:v>
                </c:pt>
                <c:pt idx="3">
                  <c:v>22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6-4769-994F-B14FEC4980EE}"/>
            </c:ext>
          </c:extLst>
        </c:ser>
        <c:ser>
          <c:idx val="3"/>
          <c:order val="3"/>
          <c:tx>
            <c:strRef>
              <c:f>Sheet1!$A$56</c:f>
              <c:strCache>
                <c:ptCount val="1"/>
                <c:pt idx="0">
                  <c:v># NEEDED</c:v>
                </c:pt>
              </c:strCache>
            </c:strRef>
          </c:tx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multiLvlStrRef>
              <c:f>Sheet1!$D$1:$H$52</c:f>
              <c:multiLvlStrCache>
                <c:ptCount val="5"/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OFF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0">
                    <c:v>330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330</c:v>
                  </c:pt>
                </c:lvl>
                <c:lvl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X</c:v>
                  </c:pt>
                  <c:pt idx="2">
                    <c:v>730</c:v>
                  </c:pt>
                  <c:pt idx="3">
                    <c:v>X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OFF</c:v>
                  </c:pt>
                </c:lvl>
                <c:lvl>
                  <c:pt idx="1">
                    <c:v>930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X</c:v>
                  </c:pt>
                  <c:pt idx="3">
                    <c:v>730</c:v>
                  </c:pt>
                  <c:pt idx="4">
                    <c:v>OFF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2">
                    <c:v>730</c:v>
                  </c:pt>
                  <c:pt idx="3">
                    <c:v>530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9-2</c:v>
                  </c:pt>
                  <c:pt idx="1">
                    <c:v>9-2</c:v>
                  </c:pt>
                  <c:pt idx="2">
                    <c:v>9-2</c:v>
                  </c:pt>
                  <c:pt idx="3">
                    <c:v>11-730</c:v>
                  </c:pt>
                </c:lvl>
                <c:lvl>
                  <c:pt idx="0">
                    <c:v>530</c:v>
                  </c:pt>
                  <c:pt idx="1">
                    <c:v>730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930</c:v>
                  </c:pt>
                  <c:pt idx="2">
                    <c:v>730</c:v>
                  </c:pt>
                  <c:pt idx="3">
                    <c:v>730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</c:lvl>
                <c:lvl>
                  <c:pt idx="0">
                    <c:v>OFF</c:v>
                  </c:pt>
                  <c:pt idx="1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930</c:v>
                  </c:pt>
                  <c:pt idx="3">
                    <c:v>730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730</c:v>
                  </c:pt>
                  <c:pt idx="1">
                    <c:v>330</c:v>
                  </c:pt>
                  <c:pt idx="2">
                    <c:v>730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530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1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730</c:v>
                  </c:pt>
                  <c:pt idx="1">
                    <c:v>730</c:v>
                  </c:pt>
                  <c:pt idx="2">
                    <c:v>OFF</c:v>
                  </c:pt>
                  <c:pt idx="3">
                    <c:v>OFF</c:v>
                  </c:pt>
                  <c:pt idx="4">
                    <c:v>OFF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  <c:pt idx="2">
                    <c:v>OFF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0">
                    <c:v>530</c:v>
                  </c:pt>
                  <c:pt idx="1">
                    <c:v>530</c:v>
                  </c:pt>
                </c:lvl>
                <c:lvl>
                  <c:pt idx="0">
                    <c:v>OFF</c:v>
                  </c:pt>
                  <c:pt idx="1">
                    <c:v>OFF</c:v>
                  </c:pt>
                  <c:pt idx="4">
                    <c:v>730</c:v>
                  </c:pt>
                </c:lvl>
                <c:lvl>
                  <c:pt idx="0">
                    <c:v>530</c:v>
                  </c:pt>
                  <c:pt idx="2">
                    <c:v>530</c:v>
                  </c:pt>
                  <c:pt idx="3">
                    <c:v>530</c:v>
                  </c:pt>
                  <c:pt idx="4">
                    <c:v>530</c:v>
                  </c:pt>
                </c:lvl>
                <c:lvl>
                  <c:pt idx="2">
                    <c:v>530</c:v>
                  </c:pt>
                </c:lvl>
                <c:lvl>
                  <c:pt idx="0">
                    <c:v>X</c:v>
                  </c:pt>
                  <c:pt idx="1">
                    <c:v>X</c:v>
                  </c:pt>
                  <c:pt idx="2">
                    <c:v>730</c:v>
                  </c:pt>
                  <c:pt idx="3">
                    <c:v>730</c:v>
                  </c:pt>
                  <c:pt idx="4">
                    <c:v>730</c:v>
                  </c:pt>
                </c:lvl>
                <c:lvl>
                  <c:pt idx="0">
                    <c:v>X</c:v>
                  </c:pt>
                  <c:pt idx="1">
                    <c:v>330</c:v>
                  </c:pt>
                  <c:pt idx="2">
                    <c:v>330</c:v>
                  </c:pt>
                  <c:pt idx="3">
                    <c:v>330</c:v>
                  </c:pt>
                  <c:pt idx="4">
                    <c:v>X</c:v>
                  </c:pt>
                </c:lvl>
                <c:lvl>
                  <c:pt idx="0">
                    <c:v>5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</c:lvl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</c:lvl>
              </c:multiLvlStrCache>
            </c:multiLvlStrRef>
          </c:cat>
          <c:val>
            <c:numRef>
              <c:f>Sheet1!$D$56:$H$56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6-4769-994F-B14FEC49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25072"/>
        <c:axId val="1"/>
      </c:barChart>
      <c:catAx>
        <c:axId val="108952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2507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63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ACEBF6-2A80-45DA-9753-919D6BC5159E}">
  <sheetPr/>
  <sheetViews>
    <sheetView zoomScale="117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65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53EFFDF6-055A-84C7-699C-7E9814E63C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B8DE-D0A3-468E-9B8D-523E24A99651}">
  <dimension ref="A1:W70"/>
  <sheetViews>
    <sheetView tabSelected="1" topLeftCell="B1" zoomScale="133" zoomScaleNormal="133" zoomScaleSheetLayoutView="100" workbookViewId="0">
      <pane ySplit="3" topLeftCell="A4" activePane="bottomLeft" state="frozen"/>
      <selection pane="bottomLeft" activeCell="W29" sqref="W29"/>
    </sheetView>
  </sheetViews>
  <sheetFormatPr defaultColWidth="6.7109375" defaultRowHeight="11.25" x14ac:dyDescent="0.2"/>
  <cols>
    <col min="1" max="1" width="21.28515625" style="6" customWidth="1"/>
    <col min="2" max="23" width="5.28515625" style="5" customWidth="1"/>
    <col min="24" max="16384" width="6.7109375" style="1"/>
  </cols>
  <sheetData>
    <row r="1" spans="1:23" ht="6" customHeight="1" x14ac:dyDescent="0.2">
      <c r="A1" s="91" t="s">
        <v>76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1:23" s="2" customFormat="1" ht="6.95" customHeight="1" x14ac:dyDescent="0.2">
      <c r="A2" s="35" t="s">
        <v>88</v>
      </c>
      <c r="B2" s="35" t="s">
        <v>5</v>
      </c>
      <c r="C2" s="35" t="s">
        <v>4</v>
      </c>
      <c r="D2" s="36" t="s">
        <v>1</v>
      </c>
      <c r="E2" s="13" t="s">
        <v>2</v>
      </c>
      <c r="F2" s="34" t="s">
        <v>3</v>
      </c>
      <c r="G2" s="34" t="s">
        <v>5</v>
      </c>
      <c r="H2" s="37" t="s">
        <v>4</v>
      </c>
      <c r="I2" s="62" t="s">
        <v>1</v>
      </c>
      <c r="J2" s="34" t="s">
        <v>2</v>
      </c>
      <c r="K2" s="34" t="s">
        <v>3</v>
      </c>
      <c r="L2" s="34" t="s">
        <v>5</v>
      </c>
      <c r="M2" s="35" t="s">
        <v>4</v>
      </c>
      <c r="N2" s="36" t="s">
        <v>1</v>
      </c>
      <c r="O2" s="34" t="s">
        <v>2</v>
      </c>
      <c r="P2" s="34" t="s">
        <v>3</v>
      </c>
      <c r="Q2" s="34" t="s">
        <v>5</v>
      </c>
      <c r="R2" s="37" t="s">
        <v>4</v>
      </c>
      <c r="S2" s="62" t="s">
        <v>1</v>
      </c>
      <c r="T2" s="34" t="s">
        <v>2</v>
      </c>
      <c r="U2" s="34" t="s">
        <v>3</v>
      </c>
      <c r="V2" s="35" t="s">
        <v>5</v>
      </c>
      <c r="W2" s="34" t="s">
        <v>4</v>
      </c>
    </row>
    <row r="3" spans="1:23" s="2" customFormat="1" ht="6.95" customHeight="1" x14ac:dyDescent="0.2">
      <c r="A3" s="38" t="s">
        <v>0</v>
      </c>
      <c r="B3" s="38">
        <v>1</v>
      </c>
      <c r="C3" s="38">
        <v>2</v>
      </c>
      <c r="D3" s="17">
        <v>5</v>
      </c>
      <c r="E3" s="33">
        <v>6</v>
      </c>
      <c r="F3" s="16">
        <v>7</v>
      </c>
      <c r="G3" s="16">
        <v>8</v>
      </c>
      <c r="H3" s="22">
        <v>9</v>
      </c>
      <c r="I3" s="63">
        <v>12</v>
      </c>
      <c r="J3" s="16">
        <v>13</v>
      </c>
      <c r="K3" s="16">
        <v>14</v>
      </c>
      <c r="L3" s="16">
        <v>15</v>
      </c>
      <c r="M3" s="38">
        <v>16</v>
      </c>
      <c r="N3" s="17">
        <v>19</v>
      </c>
      <c r="O3" s="16">
        <v>20</v>
      </c>
      <c r="P3" s="16">
        <v>21</v>
      </c>
      <c r="Q3" s="16">
        <v>22</v>
      </c>
      <c r="R3" s="22">
        <v>23</v>
      </c>
      <c r="S3" s="63">
        <v>26</v>
      </c>
      <c r="T3" s="16">
        <v>27</v>
      </c>
      <c r="U3" s="16">
        <v>28</v>
      </c>
      <c r="V3" s="38">
        <v>29</v>
      </c>
      <c r="W3" s="16">
        <v>30</v>
      </c>
    </row>
    <row r="4" spans="1:23" s="15" customFormat="1" ht="12" customHeight="1" x14ac:dyDescent="0.2">
      <c r="A4" s="39" t="s">
        <v>77</v>
      </c>
      <c r="B4" s="18"/>
      <c r="C4" s="44"/>
      <c r="D4" s="27"/>
      <c r="E4" s="13"/>
      <c r="F4" s="13"/>
      <c r="G4" s="13"/>
      <c r="H4" s="19"/>
      <c r="I4" s="64"/>
      <c r="J4" s="13"/>
      <c r="K4" s="13"/>
      <c r="L4" s="13"/>
      <c r="M4" s="44"/>
      <c r="N4" s="27">
        <v>530</v>
      </c>
      <c r="O4" s="13"/>
      <c r="P4" s="13"/>
      <c r="Q4" s="13"/>
      <c r="R4" s="19"/>
      <c r="S4" s="64"/>
      <c r="T4" s="13">
        <v>530</v>
      </c>
      <c r="U4" s="13"/>
      <c r="V4" s="13"/>
      <c r="W4" s="13"/>
    </row>
    <row r="5" spans="1:23" s="15" customFormat="1" ht="12" customHeight="1" x14ac:dyDescent="0.2">
      <c r="A5" s="39" t="s">
        <v>37</v>
      </c>
      <c r="B5" s="18" t="s">
        <v>67</v>
      </c>
      <c r="C5" s="50" t="s">
        <v>56</v>
      </c>
      <c r="D5" s="21" t="s">
        <v>56</v>
      </c>
      <c r="E5" s="13">
        <v>330</v>
      </c>
      <c r="F5" s="13">
        <v>330</v>
      </c>
      <c r="G5" s="13">
        <v>330</v>
      </c>
      <c r="H5" s="60" t="s">
        <v>56</v>
      </c>
      <c r="I5" s="65" t="s">
        <v>56</v>
      </c>
      <c r="J5" s="13">
        <v>330</v>
      </c>
      <c r="K5" s="18" t="s">
        <v>56</v>
      </c>
      <c r="L5" s="13">
        <v>330</v>
      </c>
      <c r="M5" s="44">
        <v>330</v>
      </c>
      <c r="N5" s="21" t="s">
        <v>56</v>
      </c>
      <c r="O5" s="13">
        <v>330</v>
      </c>
      <c r="P5" s="13">
        <v>330</v>
      </c>
      <c r="Q5" s="13">
        <v>330</v>
      </c>
      <c r="R5" s="60" t="s">
        <v>56</v>
      </c>
      <c r="S5" s="64">
        <v>330</v>
      </c>
      <c r="T5" s="18" t="s">
        <v>56</v>
      </c>
      <c r="U5" s="13">
        <v>330</v>
      </c>
      <c r="V5" s="13">
        <v>330</v>
      </c>
      <c r="W5" s="18" t="s">
        <v>56</v>
      </c>
    </row>
    <row r="6" spans="1:23" s="15" customFormat="1" ht="11.1" customHeight="1" x14ac:dyDescent="0.2">
      <c r="A6" s="39" t="s">
        <v>65</v>
      </c>
      <c r="B6" s="18" t="s">
        <v>64</v>
      </c>
      <c r="C6" s="44"/>
      <c r="D6" s="27"/>
      <c r="E6" s="13"/>
      <c r="F6" s="13"/>
      <c r="G6" s="13"/>
      <c r="H6" s="19"/>
      <c r="I6" s="64"/>
      <c r="J6" s="13"/>
      <c r="K6" s="13"/>
      <c r="L6" s="13"/>
      <c r="M6" s="44"/>
      <c r="N6" s="27"/>
      <c r="O6" s="13"/>
      <c r="P6" s="13"/>
      <c r="Q6" s="13"/>
      <c r="R6" s="19"/>
      <c r="S6" s="64"/>
      <c r="T6" s="13"/>
      <c r="U6" s="13"/>
      <c r="V6" s="13"/>
      <c r="W6" s="13"/>
    </row>
    <row r="7" spans="1:23" s="15" customFormat="1" ht="11.1" customHeight="1" x14ac:dyDescent="0.2">
      <c r="A7" s="39" t="s">
        <v>50</v>
      </c>
      <c r="B7" s="18" t="s">
        <v>72</v>
      </c>
      <c r="C7" s="44"/>
      <c r="D7" s="27"/>
      <c r="E7" s="13"/>
      <c r="F7" s="13"/>
      <c r="G7" s="13"/>
      <c r="H7" s="19"/>
      <c r="I7" s="64"/>
      <c r="J7" s="13"/>
      <c r="K7" s="13"/>
      <c r="L7" s="13"/>
      <c r="M7" s="44"/>
      <c r="N7" s="27"/>
      <c r="O7" s="13"/>
      <c r="P7" s="13"/>
      <c r="Q7" s="13"/>
      <c r="R7" s="19"/>
      <c r="S7" s="64"/>
      <c r="T7" s="13"/>
      <c r="U7" s="13"/>
      <c r="V7" s="13"/>
      <c r="W7" s="13"/>
    </row>
    <row r="8" spans="1:23" s="15" customFormat="1" ht="11.1" customHeight="1" x14ac:dyDescent="0.2">
      <c r="A8" s="40" t="s">
        <v>15</v>
      </c>
      <c r="B8" s="18" t="s">
        <v>72</v>
      </c>
      <c r="C8" s="49">
        <v>730</v>
      </c>
      <c r="D8" s="21" t="s">
        <v>56</v>
      </c>
      <c r="E8" s="18" t="s">
        <v>56</v>
      </c>
      <c r="F8" s="23">
        <v>730</v>
      </c>
      <c r="G8" s="23">
        <v>730</v>
      </c>
      <c r="H8" s="26">
        <v>730</v>
      </c>
      <c r="I8" s="65" t="s">
        <v>56</v>
      </c>
      <c r="J8" s="18" t="s">
        <v>56</v>
      </c>
      <c r="K8" s="23">
        <v>730</v>
      </c>
      <c r="L8" s="23">
        <v>730</v>
      </c>
      <c r="M8" s="49">
        <v>730</v>
      </c>
      <c r="N8" s="21" t="s">
        <v>56</v>
      </c>
      <c r="O8" s="18" t="s">
        <v>56</v>
      </c>
      <c r="P8" s="23">
        <v>730</v>
      </c>
      <c r="Q8" s="23">
        <v>730</v>
      </c>
      <c r="R8" s="26">
        <v>730</v>
      </c>
      <c r="S8" s="65" t="s">
        <v>56</v>
      </c>
      <c r="T8" s="18" t="s">
        <v>56</v>
      </c>
      <c r="U8" s="23">
        <v>730</v>
      </c>
      <c r="V8" s="23">
        <v>730</v>
      </c>
      <c r="W8" s="23">
        <v>730</v>
      </c>
    </row>
    <row r="9" spans="1:23" s="15" customFormat="1" ht="11.1" customHeight="1" x14ac:dyDescent="0.2">
      <c r="A9" s="39" t="s">
        <v>33</v>
      </c>
      <c r="B9" s="18" t="s">
        <v>69</v>
      </c>
      <c r="C9" s="44"/>
      <c r="D9" s="27"/>
      <c r="E9" s="13"/>
      <c r="F9" s="13">
        <v>530</v>
      </c>
      <c r="G9" s="13"/>
      <c r="H9" s="19"/>
      <c r="I9" s="64"/>
      <c r="J9" s="13"/>
      <c r="K9" s="13"/>
      <c r="L9" s="13"/>
      <c r="M9" s="44"/>
      <c r="N9" s="27"/>
      <c r="O9" s="13"/>
      <c r="P9" s="13">
        <v>530</v>
      </c>
      <c r="Q9" s="13"/>
      <c r="R9" s="19"/>
      <c r="S9" s="64"/>
      <c r="T9" s="13"/>
      <c r="U9" s="13">
        <v>530</v>
      </c>
      <c r="V9" s="13"/>
      <c r="W9" s="13"/>
    </row>
    <row r="10" spans="1:23" s="15" customFormat="1" ht="11.1" customHeight="1" x14ac:dyDescent="0.2">
      <c r="A10" s="40" t="s">
        <v>35</v>
      </c>
      <c r="B10" s="18"/>
      <c r="C10" s="45">
        <v>530</v>
      </c>
      <c r="D10" s="29">
        <v>530</v>
      </c>
      <c r="E10" s="10"/>
      <c r="F10" s="10">
        <v>530</v>
      </c>
      <c r="G10" s="10">
        <v>530</v>
      </c>
      <c r="H10" s="20">
        <v>530</v>
      </c>
      <c r="I10" s="66">
        <v>530</v>
      </c>
      <c r="J10" s="10"/>
      <c r="K10" s="10">
        <v>530</v>
      </c>
      <c r="L10" s="10">
        <v>530</v>
      </c>
      <c r="M10" s="45">
        <v>530</v>
      </c>
      <c r="N10" s="29">
        <v>530</v>
      </c>
      <c r="O10" s="10">
        <v>530</v>
      </c>
      <c r="P10" s="10"/>
      <c r="Q10" s="10">
        <v>530</v>
      </c>
      <c r="R10" s="20">
        <v>530</v>
      </c>
      <c r="S10" s="66"/>
      <c r="T10" s="10">
        <v>530</v>
      </c>
      <c r="U10" s="10">
        <v>530</v>
      </c>
      <c r="V10" s="10">
        <v>530</v>
      </c>
      <c r="W10" s="10">
        <v>530</v>
      </c>
    </row>
    <row r="11" spans="1:23" s="15" customFormat="1" ht="11.1" customHeight="1" x14ac:dyDescent="0.2">
      <c r="A11" s="40" t="s">
        <v>13</v>
      </c>
      <c r="B11" s="18" t="s">
        <v>68</v>
      </c>
      <c r="C11" s="48" t="s">
        <v>63</v>
      </c>
      <c r="D11" s="30" t="s">
        <v>63</v>
      </c>
      <c r="E11" s="24" t="s">
        <v>63</v>
      </c>
      <c r="F11" s="10"/>
      <c r="G11" s="10"/>
      <c r="H11" s="26">
        <v>730</v>
      </c>
      <c r="I11" s="67">
        <v>730</v>
      </c>
      <c r="J11" s="23">
        <v>730</v>
      </c>
      <c r="K11" s="10"/>
      <c r="L11" s="10"/>
      <c r="M11" s="49">
        <v>730</v>
      </c>
      <c r="N11" s="28">
        <v>730</v>
      </c>
      <c r="O11" s="23">
        <v>730</v>
      </c>
      <c r="P11" s="10"/>
      <c r="Q11" s="10"/>
      <c r="R11" s="26">
        <v>730</v>
      </c>
      <c r="S11" s="67">
        <v>730</v>
      </c>
      <c r="T11" s="23">
        <v>730</v>
      </c>
      <c r="U11" s="10"/>
      <c r="V11" s="10"/>
      <c r="W11" s="23">
        <v>730</v>
      </c>
    </row>
    <row r="12" spans="1:23" s="15" customFormat="1" ht="10.5" customHeight="1" x14ac:dyDescent="0.2">
      <c r="A12" s="40" t="s">
        <v>55</v>
      </c>
      <c r="B12" s="18" t="s">
        <v>73</v>
      </c>
      <c r="C12" s="55"/>
      <c r="D12" s="56"/>
      <c r="E12" s="54"/>
      <c r="F12" s="54"/>
      <c r="G12" s="54"/>
      <c r="H12" s="57"/>
      <c r="I12" s="68"/>
      <c r="J12" s="54"/>
      <c r="K12" s="54"/>
      <c r="L12" s="54"/>
      <c r="M12" s="55"/>
      <c r="N12" s="56"/>
      <c r="O12" s="54"/>
      <c r="P12" s="54"/>
      <c r="Q12" s="54"/>
      <c r="R12" s="57"/>
      <c r="S12" s="68"/>
      <c r="T12" s="54"/>
      <c r="U12" s="54"/>
      <c r="V12" s="54"/>
      <c r="W12" s="54"/>
    </row>
    <row r="13" spans="1:23" s="15" customFormat="1" ht="11.1" customHeight="1" x14ac:dyDescent="0.2">
      <c r="A13" s="40" t="s">
        <v>12</v>
      </c>
      <c r="B13" s="18"/>
      <c r="C13" s="45">
        <v>530</v>
      </c>
      <c r="D13" s="29">
        <v>530</v>
      </c>
      <c r="E13" s="10">
        <v>530</v>
      </c>
      <c r="F13" s="10"/>
      <c r="G13" s="10"/>
      <c r="H13" s="20"/>
      <c r="I13" s="66"/>
      <c r="J13" s="10"/>
      <c r="K13" s="10"/>
      <c r="L13" s="10">
        <v>530</v>
      </c>
      <c r="M13" s="45">
        <v>530</v>
      </c>
      <c r="N13" s="29">
        <v>530</v>
      </c>
      <c r="O13" s="10">
        <v>530</v>
      </c>
      <c r="P13" s="10"/>
      <c r="Q13" s="10"/>
      <c r="R13" s="20"/>
      <c r="S13" s="66">
        <v>530</v>
      </c>
      <c r="T13" s="10">
        <v>530</v>
      </c>
      <c r="U13" s="79" t="s">
        <v>78</v>
      </c>
      <c r="V13" s="79" t="s">
        <v>78</v>
      </c>
      <c r="W13" s="10"/>
    </row>
    <row r="14" spans="1:23" s="15" customFormat="1" ht="11.1" customHeight="1" x14ac:dyDescent="0.2">
      <c r="A14" s="40" t="s">
        <v>49</v>
      </c>
      <c r="B14" s="18" t="s">
        <v>69</v>
      </c>
      <c r="C14" s="48" t="s">
        <v>63</v>
      </c>
      <c r="D14" s="29">
        <v>530</v>
      </c>
      <c r="E14" s="10">
        <v>530</v>
      </c>
      <c r="F14" s="24" t="s">
        <v>63</v>
      </c>
      <c r="G14" s="10">
        <v>530</v>
      </c>
      <c r="H14" s="20">
        <v>530</v>
      </c>
      <c r="I14" s="66"/>
      <c r="J14" s="10">
        <v>530</v>
      </c>
      <c r="K14" s="10">
        <v>530</v>
      </c>
      <c r="L14" s="10">
        <v>530</v>
      </c>
      <c r="M14" s="45">
        <v>530</v>
      </c>
      <c r="N14" s="29">
        <v>530</v>
      </c>
      <c r="O14" s="10">
        <v>530</v>
      </c>
      <c r="P14" s="10"/>
      <c r="Q14" s="10">
        <v>530</v>
      </c>
      <c r="R14" s="20">
        <v>530</v>
      </c>
      <c r="S14" s="66">
        <v>530</v>
      </c>
      <c r="T14" s="10">
        <v>530</v>
      </c>
      <c r="U14" s="10">
        <v>530</v>
      </c>
      <c r="V14" s="10"/>
      <c r="W14" s="10">
        <v>530</v>
      </c>
    </row>
    <row r="15" spans="1:23" s="15" customFormat="1" ht="11.1" customHeight="1" x14ac:dyDescent="0.2">
      <c r="A15" s="40" t="s">
        <v>52</v>
      </c>
      <c r="B15" s="18" t="s">
        <v>70</v>
      </c>
      <c r="C15" s="49">
        <v>730</v>
      </c>
      <c r="D15" s="28">
        <v>730</v>
      </c>
      <c r="E15" s="23">
        <v>730</v>
      </c>
      <c r="F15" s="24" t="s">
        <v>63</v>
      </c>
      <c r="G15" s="24" t="s">
        <v>63</v>
      </c>
      <c r="H15" s="25" t="s">
        <v>63</v>
      </c>
      <c r="I15" s="67">
        <v>730</v>
      </c>
      <c r="J15" s="23">
        <v>730</v>
      </c>
      <c r="K15" s="23">
        <v>730</v>
      </c>
      <c r="L15" s="24" t="s">
        <v>63</v>
      </c>
      <c r="M15" s="45"/>
      <c r="N15" s="28">
        <v>730</v>
      </c>
      <c r="O15" s="10"/>
      <c r="P15" s="23">
        <v>730</v>
      </c>
      <c r="Q15" s="23">
        <v>730</v>
      </c>
      <c r="R15" s="80">
        <v>330</v>
      </c>
      <c r="S15" s="70" t="s">
        <v>63</v>
      </c>
      <c r="T15" s="24" t="s">
        <v>63</v>
      </c>
      <c r="U15" s="24" t="s">
        <v>63</v>
      </c>
      <c r="V15" s="24" t="s">
        <v>63</v>
      </c>
      <c r="W15" s="24" t="s">
        <v>63</v>
      </c>
    </row>
    <row r="16" spans="1:23" s="15" customFormat="1" ht="11.1" customHeight="1" x14ac:dyDescent="0.2">
      <c r="A16" s="39" t="s">
        <v>75</v>
      </c>
      <c r="B16" s="18" t="s">
        <v>64</v>
      </c>
      <c r="C16" s="44"/>
      <c r="D16" s="27"/>
      <c r="E16" s="13"/>
      <c r="F16" s="61"/>
      <c r="G16" s="61"/>
      <c r="H16" s="73"/>
      <c r="I16" s="64"/>
      <c r="J16" s="13"/>
      <c r="K16" s="13"/>
      <c r="L16" s="61"/>
      <c r="M16" s="44"/>
      <c r="N16" s="27">
        <v>530</v>
      </c>
      <c r="O16" s="13">
        <v>530</v>
      </c>
      <c r="P16" s="13">
        <v>530</v>
      </c>
      <c r="Q16" s="13">
        <v>530</v>
      </c>
      <c r="R16" s="19"/>
      <c r="S16" s="64"/>
      <c r="T16" s="13"/>
      <c r="U16" s="13"/>
      <c r="V16" s="13">
        <v>530</v>
      </c>
      <c r="W16" s="13">
        <v>530</v>
      </c>
    </row>
    <row r="17" spans="1:23" s="15" customFormat="1" ht="11.1" customHeight="1" x14ac:dyDescent="0.2">
      <c r="A17" s="40" t="s">
        <v>47</v>
      </c>
      <c r="B17" s="18" t="s">
        <v>71</v>
      </c>
      <c r="C17" s="49">
        <v>730</v>
      </c>
      <c r="D17" s="29"/>
      <c r="E17" s="23">
        <v>730</v>
      </c>
      <c r="F17" s="10"/>
      <c r="G17" s="23">
        <v>730</v>
      </c>
      <c r="H17" s="26">
        <v>730</v>
      </c>
      <c r="I17" s="67">
        <v>730</v>
      </c>
      <c r="J17" s="10"/>
      <c r="K17" s="23">
        <v>730</v>
      </c>
      <c r="L17" s="10"/>
      <c r="M17" s="49">
        <v>730</v>
      </c>
      <c r="N17" s="23">
        <v>730</v>
      </c>
      <c r="O17" s="10"/>
      <c r="P17" s="10"/>
      <c r="Q17" s="23">
        <v>730</v>
      </c>
      <c r="R17" s="26">
        <v>730</v>
      </c>
      <c r="S17" s="67">
        <v>730</v>
      </c>
      <c r="T17" s="10"/>
      <c r="U17" s="23">
        <v>730</v>
      </c>
      <c r="V17" s="10"/>
      <c r="W17" s="23">
        <v>730</v>
      </c>
    </row>
    <row r="18" spans="1:23" s="15" customFormat="1" ht="11.1" customHeight="1" x14ac:dyDescent="0.2">
      <c r="A18" s="40" t="s">
        <v>40</v>
      </c>
      <c r="B18" s="18"/>
      <c r="C18" s="48" t="s">
        <v>63</v>
      </c>
      <c r="D18" s="29">
        <v>530</v>
      </c>
      <c r="E18" s="10"/>
      <c r="F18" s="10">
        <v>530</v>
      </c>
      <c r="G18" s="10">
        <v>530</v>
      </c>
      <c r="H18" s="20">
        <v>530</v>
      </c>
      <c r="I18" s="66">
        <v>530</v>
      </c>
      <c r="J18" s="10"/>
      <c r="K18" s="10">
        <v>530</v>
      </c>
      <c r="L18" s="10">
        <v>530</v>
      </c>
      <c r="M18" s="45">
        <v>530</v>
      </c>
      <c r="N18" s="29">
        <v>530</v>
      </c>
      <c r="O18" s="10">
        <v>530</v>
      </c>
      <c r="P18" s="10"/>
      <c r="Q18" s="10">
        <v>530</v>
      </c>
      <c r="R18" s="20">
        <v>530</v>
      </c>
      <c r="S18" s="66"/>
      <c r="T18" s="10">
        <v>530</v>
      </c>
      <c r="U18" s="10">
        <v>530</v>
      </c>
      <c r="V18" s="10">
        <v>530</v>
      </c>
      <c r="W18" s="10">
        <v>530</v>
      </c>
    </row>
    <row r="19" spans="1:23" s="15" customFormat="1" ht="11.1" customHeight="1" x14ac:dyDescent="0.2">
      <c r="A19" s="40" t="s">
        <v>9</v>
      </c>
      <c r="B19" s="18" t="s">
        <v>67</v>
      </c>
      <c r="C19" s="45"/>
      <c r="D19" s="29">
        <v>530</v>
      </c>
      <c r="E19" s="10">
        <v>530</v>
      </c>
      <c r="F19" s="10">
        <v>530</v>
      </c>
      <c r="G19" s="10"/>
      <c r="H19" s="20"/>
      <c r="I19" s="66"/>
      <c r="J19" s="10">
        <v>530</v>
      </c>
      <c r="K19" s="10">
        <v>530</v>
      </c>
      <c r="L19" s="10"/>
      <c r="M19" s="45"/>
      <c r="N19" s="29"/>
      <c r="O19" s="10">
        <v>530</v>
      </c>
      <c r="P19" s="10">
        <v>530</v>
      </c>
      <c r="Q19" s="10"/>
      <c r="R19" s="20"/>
      <c r="S19" s="66"/>
      <c r="T19" s="10">
        <v>530</v>
      </c>
      <c r="U19" s="10">
        <v>530</v>
      </c>
      <c r="V19" s="10"/>
      <c r="W19" s="10"/>
    </row>
    <row r="20" spans="1:23" s="15" customFormat="1" ht="11.1" customHeight="1" x14ac:dyDescent="0.2">
      <c r="A20" s="40" t="s">
        <v>16</v>
      </c>
      <c r="B20" s="18" t="s">
        <v>64</v>
      </c>
      <c r="C20" s="49">
        <v>730</v>
      </c>
      <c r="D20" s="28">
        <v>730</v>
      </c>
      <c r="E20" s="82">
        <v>330</v>
      </c>
      <c r="F20" s="23">
        <v>730</v>
      </c>
      <c r="G20" s="10"/>
      <c r="H20" s="26">
        <v>730</v>
      </c>
      <c r="I20" s="66"/>
      <c r="J20" s="23">
        <v>730</v>
      </c>
      <c r="K20" s="23">
        <v>730</v>
      </c>
      <c r="L20" s="23">
        <v>730</v>
      </c>
      <c r="M20" s="45"/>
      <c r="N20" s="28">
        <v>730</v>
      </c>
      <c r="O20" s="10"/>
      <c r="P20" s="82">
        <v>330</v>
      </c>
      <c r="Q20" s="23">
        <v>730</v>
      </c>
      <c r="R20" s="26">
        <v>730</v>
      </c>
      <c r="S20" s="67">
        <v>730</v>
      </c>
      <c r="T20" s="23">
        <v>730</v>
      </c>
      <c r="U20" s="82">
        <v>330</v>
      </c>
      <c r="V20" s="23">
        <v>730</v>
      </c>
      <c r="W20" s="10"/>
    </row>
    <row r="21" spans="1:23" s="15" customFormat="1" ht="11.1" customHeight="1" x14ac:dyDescent="0.2">
      <c r="A21" s="40" t="s">
        <v>59</v>
      </c>
      <c r="B21" s="18" t="s">
        <v>72</v>
      </c>
      <c r="C21" s="45">
        <v>530</v>
      </c>
      <c r="D21" s="29">
        <v>530</v>
      </c>
      <c r="E21" s="10"/>
      <c r="F21" s="10">
        <v>530</v>
      </c>
      <c r="G21" s="10">
        <v>530</v>
      </c>
      <c r="H21" s="20">
        <v>530</v>
      </c>
      <c r="I21" s="66">
        <v>530</v>
      </c>
      <c r="J21" s="10">
        <v>530</v>
      </c>
      <c r="K21" s="10">
        <v>530</v>
      </c>
      <c r="L21" s="10">
        <v>530</v>
      </c>
      <c r="M21" s="45"/>
      <c r="N21" s="29">
        <v>530</v>
      </c>
      <c r="O21" s="10"/>
      <c r="P21" s="10">
        <v>530</v>
      </c>
      <c r="Q21" s="10">
        <v>530</v>
      </c>
      <c r="R21" s="20">
        <v>530</v>
      </c>
      <c r="S21" s="66">
        <v>530</v>
      </c>
      <c r="T21" s="10"/>
      <c r="U21" s="10">
        <v>530</v>
      </c>
      <c r="V21" s="10">
        <v>530</v>
      </c>
      <c r="W21" s="10">
        <v>530</v>
      </c>
    </row>
    <row r="22" spans="1:23" s="15" customFormat="1" ht="11.1" customHeight="1" x14ac:dyDescent="0.2">
      <c r="A22" s="40" t="s">
        <v>36</v>
      </c>
      <c r="B22" s="18" t="s">
        <v>72</v>
      </c>
      <c r="C22" s="45">
        <v>530</v>
      </c>
      <c r="D22" s="29">
        <v>530</v>
      </c>
      <c r="E22" s="10">
        <v>530</v>
      </c>
      <c r="F22" s="24" t="s">
        <v>63</v>
      </c>
      <c r="G22" s="10">
        <v>530</v>
      </c>
      <c r="H22" s="20">
        <v>530</v>
      </c>
      <c r="I22" s="66">
        <v>530</v>
      </c>
      <c r="J22" s="10">
        <v>530</v>
      </c>
      <c r="K22" s="24" t="s">
        <v>63</v>
      </c>
      <c r="L22" s="10">
        <v>530</v>
      </c>
      <c r="M22" s="45">
        <v>530</v>
      </c>
      <c r="N22" s="29">
        <v>530</v>
      </c>
      <c r="O22" s="10">
        <v>530</v>
      </c>
      <c r="P22" s="10">
        <v>530</v>
      </c>
      <c r="Q22" s="24" t="s">
        <v>63</v>
      </c>
      <c r="R22" s="25" t="s">
        <v>63</v>
      </c>
      <c r="S22" s="70" t="s">
        <v>63</v>
      </c>
      <c r="T22" s="24" t="s">
        <v>63</v>
      </c>
      <c r="U22" s="10">
        <v>530</v>
      </c>
      <c r="V22" s="10">
        <v>530</v>
      </c>
      <c r="W22" s="24" t="s">
        <v>63</v>
      </c>
    </row>
    <row r="23" spans="1:23" s="15" customFormat="1" ht="11.1" customHeight="1" x14ac:dyDescent="0.2">
      <c r="A23" s="40" t="s">
        <v>54</v>
      </c>
      <c r="B23" s="18" t="s">
        <v>69</v>
      </c>
      <c r="C23" s="49">
        <v>730</v>
      </c>
      <c r="D23" s="28">
        <v>730</v>
      </c>
      <c r="E23" s="59">
        <v>930</v>
      </c>
      <c r="F23" s="10"/>
      <c r="G23" s="23">
        <v>730</v>
      </c>
      <c r="H23" s="80">
        <v>530</v>
      </c>
      <c r="I23" s="67">
        <v>730</v>
      </c>
      <c r="J23" s="59">
        <v>930</v>
      </c>
      <c r="K23" s="10"/>
      <c r="L23" s="82">
        <v>530</v>
      </c>
      <c r="M23" s="49">
        <v>730</v>
      </c>
      <c r="N23" s="28">
        <v>730</v>
      </c>
      <c r="O23" s="59">
        <v>930</v>
      </c>
      <c r="P23" s="10"/>
      <c r="Q23" s="24" t="s">
        <v>63</v>
      </c>
      <c r="R23" s="25" t="s">
        <v>63</v>
      </c>
      <c r="S23" s="70" t="s">
        <v>63</v>
      </c>
      <c r="T23" s="24" t="s">
        <v>63</v>
      </c>
      <c r="U23" s="23">
        <v>730</v>
      </c>
      <c r="V23" s="23">
        <v>730</v>
      </c>
      <c r="W23" s="59">
        <v>930</v>
      </c>
    </row>
    <row r="24" spans="1:23" s="15" customFormat="1" ht="11.1" customHeight="1" x14ac:dyDescent="0.2">
      <c r="A24" s="40" t="s">
        <v>51</v>
      </c>
      <c r="B24" s="18"/>
      <c r="C24" s="45">
        <v>530</v>
      </c>
      <c r="D24" s="29"/>
      <c r="E24" s="10"/>
      <c r="F24" s="10">
        <v>530</v>
      </c>
      <c r="G24" s="10"/>
      <c r="H24" s="20">
        <v>530</v>
      </c>
      <c r="I24" s="66"/>
      <c r="J24" s="10">
        <v>530</v>
      </c>
      <c r="K24" s="10">
        <v>530</v>
      </c>
      <c r="L24" s="10"/>
      <c r="M24" s="45"/>
      <c r="N24" s="30" t="s">
        <v>63</v>
      </c>
      <c r="O24" s="24" t="s">
        <v>63</v>
      </c>
      <c r="P24" s="24" t="s">
        <v>63</v>
      </c>
      <c r="Q24" s="24" t="s">
        <v>63</v>
      </c>
      <c r="R24" s="20">
        <v>530</v>
      </c>
      <c r="S24" s="66"/>
      <c r="T24" s="10"/>
      <c r="U24" s="10">
        <v>530</v>
      </c>
      <c r="V24" s="10">
        <v>530</v>
      </c>
      <c r="W24" s="10"/>
    </row>
    <row r="25" spans="1:23" s="15" customFormat="1" ht="11.1" customHeight="1" x14ac:dyDescent="0.2">
      <c r="A25" s="40" t="s">
        <v>46</v>
      </c>
      <c r="B25" s="18" t="s">
        <v>68</v>
      </c>
      <c r="C25" s="45">
        <v>530</v>
      </c>
      <c r="D25" s="29"/>
      <c r="E25" s="10"/>
      <c r="F25" s="10">
        <v>530</v>
      </c>
      <c r="G25" s="10"/>
      <c r="H25" s="20">
        <v>530</v>
      </c>
      <c r="I25" s="66">
        <v>530</v>
      </c>
      <c r="J25" s="10"/>
      <c r="K25" s="10">
        <v>530</v>
      </c>
      <c r="L25" s="10"/>
      <c r="M25" s="45"/>
      <c r="N25" s="29">
        <v>530</v>
      </c>
      <c r="O25" s="10"/>
      <c r="P25" s="10"/>
      <c r="Q25" s="10"/>
      <c r="R25" s="20">
        <v>530</v>
      </c>
      <c r="S25" s="66">
        <v>530</v>
      </c>
      <c r="T25" s="10"/>
      <c r="U25" s="10">
        <v>530</v>
      </c>
      <c r="V25" s="24" t="s">
        <v>63</v>
      </c>
      <c r="W25" s="24" t="s">
        <v>63</v>
      </c>
    </row>
    <row r="26" spans="1:23" s="15" customFormat="1" ht="11.1" customHeight="1" x14ac:dyDescent="0.2">
      <c r="A26" s="39" t="s">
        <v>44</v>
      </c>
      <c r="B26" s="18" t="s">
        <v>70</v>
      </c>
      <c r="C26" s="44"/>
      <c r="D26" s="27">
        <v>530</v>
      </c>
      <c r="E26" s="13">
        <v>530</v>
      </c>
      <c r="F26" s="13"/>
      <c r="G26" s="13"/>
      <c r="H26" s="19"/>
      <c r="I26" s="64">
        <v>530</v>
      </c>
      <c r="J26" s="13">
        <v>530</v>
      </c>
      <c r="K26" s="13"/>
      <c r="L26" s="13"/>
      <c r="M26" s="44"/>
      <c r="N26" s="27"/>
      <c r="O26" s="13">
        <v>530</v>
      </c>
      <c r="P26" s="13"/>
      <c r="Q26" s="13"/>
      <c r="R26" s="19">
        <v>530</v>
      </c>
      <c r="S26" s="64">
        <v>530</v>
      </c>
      <c r="T26" s="13">
        <v>530</v>
      </c>
      <c r="U26" s="13"/>
      <c r="V26" s="13"/>
      <c r="W26" s="13"/>
    </row>
    <row r="27" spans="1:23" s="15" customFormat="1" ht="11.1" customHeight="1" x14ac:dyDescent="0.2">
      <c r="A27" s="40" t="s">
        <v>17</v>
      </c>
      <c r="B27" s="18" t="s">
        <v>73</v>
      </c>
      <c r="C27" s="45"/>
      <c r="D27" s="29"/>
      <c r="E27" s="23">
        <v>730</v>
      </c>
      <c r="F27" s="10"/>
      <c r="G27" s="23">
        <v>730</v>
      </c>
      <c r="H27" s="80">
        <v>530</v>
      </c>
      <c r="I27" s="66"/>
      <c r="J27" s="23">
        <v>730</v>
      </c>
      <c r="K27" s="10"/>
      <c r="L27" s="23">
        <v>730</v>
      </c>
      <c r="M27" s="45"/>
      <c r="N27" s="29"/>
      <c r="O27" s="23">
        <v>730</v>
      </c>
      <c r="P27" s="10"/>
      <c r="Q27" s="23">
        <v>730</v>
      </c>
      <c r="R27" s="80">
        <v>530</v>
      </c>
      <c r="S27" s="66"/>
      <c r="T27" s="23">
        <v>730</v>
      </c>
      <c r="U27" s="10"/>
      <c r="V27" s="23">
        <v>730</v>
      </c>
      <c r="W27" s="10"/>
    </row>
    <row r="28" spans="1:23" s="15" customFormat="1" ht="11.1" customHeight="1" x14ac:dyDescent="0.2">
      <c r="A28" s="39" t="s">
        <v>61</v>
      </c>
      <c r="B28" s="18"/>
      <c r="C28" s="44"/>
      <c r="D28" s="27"/>
      <c r="E28" s="13"/>
      <c r="F28" s="13"/>
      <c r="G28" s="13"/>
      <c r="H28" s="19"/>
      <c r="I28" s="64"/>
      <c r="J28" s="13"/>
      <c r="K28" s="13"/>
      <c r="L28" s="13"/>
      <c r="M28" s="44">
        <v>530</v>
      </c>
      <c r="N28" s="27"/>
      <c r="O28" s="13"/>
      <c r="P28" s="13">
        <v>530</v>
      </c>
      <c r="Q28" s="13"/>
      <c r="R28" s="19"/>
      <c r="S28" s="64"/>
      <c r="T28" s="13"/>
      <c r="U28" s="13">
        <v>530</v>
      </c>
      <c r="V28" s="13"/>
      <c r="W28" s="13"/>
    </row>
    <row r="29" spans="1:23" s="15" customFormat="1" ht="11.1" customHeight="1" x14ac:dyDescent="0.2">
      <c r="A29" s="40" t="s">
        <v>10</v>
      </c>
      <c r="B29" s="18" t="s">
        <v>69</v>
      </c>
      <c r="C29" s="48" t="s">
        <v>63</v>
      </c>
      <c r="D29" s="48" t="s">
        <v>63</v>
      </c>
      <c r="E29" s="10">
        <v>530</v>
      </c>
      <c r="F29" s="10">
        <v>530</v>
      </c>
      <c r="G29" s="10">
        <v>530</v>
      </c>
      <c r="H29" s="20">
        <v>530</v>
      </c>
      <c r="I29" s="66">
        <v>530</v>
      </c>
      <c r="J29" s="10">
        <v>530</v>
      </c>
      <c r="K29" s="10">
        <v>530</v>
      </c>
      <c r="L29" s="10">
        <v>530</v>
      </c>
      <c r="M29" s="45"/>
      <c r="N29" s="29">
        <v>530</v>
      </c>
      <c r="O29" s="10"/>
      <c r="P29" s="10">
        <v>530</v>
      </c>
      <c r="Q29" s="10">
        <v>530</v>
      </c>
      <c r="R29" s="20">
        <v>530</v>
      </c>
      <c r="S29" s="66">
        <v>530</v>
      </c>
      <c r="T29" s="82">
        <v>530</v>
      </c>
      <c r="U29" s="10">
        <v>530</v>
      </c>
      <c r="V29" s="10">
        <v>530</v>
      </c>
      <c r="W29" s="10"/>
    </row>
    <row r="30" spans="1:23" s="15" customFormat="1" ht="11.1" customHeight="1" x14ac:dyDescent="0.2">
      <c r="A30" s="39" t="s">
        <v>74</v>
      </c>
      <c r="B30" s="18" t="s">
        <v>70</v>
      </c>
      <c r="C30" s="44"/>
      <c r="D30" s="27"/>
      <c r="E30" s="13"/>
      <c r="F30" s="13"/>
      <c r="G30" s="13"/>
      <c r="H30" s="19"/>
      <c r="I30" s="64"/>
      <c r="J30" s="13"/>
      <c r="K30" s="13"/>
      <c r="L30" s="13"/>
      <c r="M30" s="44">
        <v>530</v>
      </c>
      <c r="N30" s="27"/>
      <c r="O30" s="13"/>
      <c r="P30" s="13"/>
      <c r="Q30" s="13"/>
      <c r="R30" s="19"/>
      <c r="S30" s="64"/>
      <c r="T30" s="13"/>
      <c r="U30" s="13"/>
      <c r="V30" s="13"/>
      <c r="W30" s="13">
        <v>530</v>
      </c>
    </row>
    <row r="31" spans="1:23" s="15" customFormat="1" ht="11.1" customHeight="1" x14ac:dyDescent="0.2">
      <c r="A31" s="40" t="s">
        <v>34</v>
      </c>
      <c r="B31" s="18" t="s">
        <v>64</v>
      </c>
      <c r="C31" s="45"/>
      <c r="D31" s="30" t="s">
        <v>63</v>
      </c>
      <c r="E31" s="24" t="s">
        <v>63</v>
      </c>
      <c r="F31" s="10"/>
      <c r="G31" s="10"/>
      <c r="H31" s="20"/>
      <c r="I31" s="66">
        <v>530</v>
      </c>
      <c r="J31" s="10">
        <v>530</v>
      </c>
      <c r="K31" s="10"/>
      <c r="L31" s="10"/>
      <c r="M31" s="45"/>
      <c r="N31" s="29">
        <v>530</v>
      </c>
      <c r="O31" s="10">
        <v>530</v>
      </c>
      <c r="P31" s="10"/>
      <c r="Q31" s="10"/>
      <c r="R31" s="20"/>
      <c r="S31" s="66">
        <v>530</v>
      </c>
      <c r="T31" s="10">
        <v>530</v>
      </c>
      <c r="U31" s="10"/>
      <c r="V31" s="10"/>
      <c r="W31" s="10"/>
    </row>
    <row r="32" spans="1:23" s="15" customFormat="1" ht="10.5" customHeight="1" x14ac:dyDescent="0.2">
      <c r="A32" s="40" t="s">
        <v>48</v>
      </c>
      <c r="B32" s="18" t="s">
        <v>71</v>
      </c>
      <c r="C32" s="49">
        <v>730</v>
      </c>
      <c r="D32" s="58">
        <v>930</v>
      </c>
      <c r="E32" s="10"/>
      <c r="F32" s="23">
        <v>730</v>
      </c>
      <c r="G32" s="23">
        <v>730</v>
      </c>
      <c r="H32" s="20"/>
      <c r="I32" s="69">
        <v>930</v>
      </c>
      <c r="J32" s="10"/>
      <c r="K32" s="23">
        <v>730</v>
      </c>
      <c r="L32" s="23">
        <v>730</v>
      </c>
      <c r="M32" s="45"/>
      <c r="N32" s="29">
        <v>930</v>
      </c>
      <c r="O32" s="10"/>
      <c r="P32" s="10"/>
      <c r="Q32" s="23">
        <v>730</v>
      </c>
      <c r="R32" s="26">
        <v>730</v>
      </c>
      <c r="S32" s="69">
        <v>930</v>
      </c>
      <c r="T32" s="10"/>
      <c r="U32" s="23">
        <v>730</v>
      </c>
      <c r="V32" s="10"/>
      <c r="W32" s="23">
        <v>730</v>
      </c>
    </row>
    <row r="33" spans="1:23" s="15" customFormat="1" ht="11.1" customHeight="1" x14ac:dyDescent="0.2">
      <c r="A33" s="40" t="s">
        <v>60</v>
      </c>
      <c r="B33" s="18"/>
      <c r="C33" s="49">
        <v>730</v>
      </c>
      <c r="D33" s="84">
        <v>530</v>
      </c>
      <c r="E33" s="23">
        <v>730</v>
      </c>
      <c r="F33" s="23">
        <v>730</v>
      </c>
      <c r="G33" s="10"/>
      <c r="H33" s="26">
        <v>730</v>
      </c>
      <c r="I33" s="67">
        <v>730</v>
      </c>
      <c r="J33" s="10"/>
      <c r="K33" s="23">
        <v>730</v>
      </c>
      <c r="L33" s="23">
        <v>730</v>
      </c>
      <c r="M33" s="48" t="s">
        <v>63</v>
      </c>
      <c r="N33" s="30" t="s">
        <v>63</v>
      </c>
      <c r="O33" s="23">
        <v>730</v>
      </c>
      <c r="P33" s="23">
        <v>730</v>
      </c>
      <c r="Q33" s="23">
        <v>730</v>
      </c>
      <c r="R33" s="25" t="s">
        <v>63</v>
      </c>
      <c r="S33" s="70" t="s">
        <v>63</v>
      </c>
      <c r="T33" s="23">
        <v>730</v>
      </c>
      <c r="U33" s="10"/>
      <c r="V33" s="23">
        <v>730</v>
      </c>
      <c r="W33" s="23" t="s">
        <v>63</v>
      </c>
    </row>
    <row r="34" spans="1:23" s="15" customFormat="1" ht="11.1" customHeight="1" x14ac:dyDescent="0.2">
      <c r="A34" s="39" t="s">
        <v>62</v>
      </c>
      <c r="B34" s="18" t="s">
        <v>67</v>
      </c>
      <c r="C34" s="44"/>
      <c r="D34" s="75" t="s">
        <v>80</v>
      </c>
      <c r="E34" s="76" t="s">
        <v>80</v>
      </c>
      <c r="F34" s="76" t="s">
        <v>80</v>
      </c>
      <c r="G34" s="23" t="s">
        <v>81</v>
      </c>
      <c r="H34" s="19"/>
      <c r="I34" s="64"/>
      <c r="J34" s="13"/>
      <c r="K34" s="13"/>
      <c r="L34" s="13"/>
      <c r="M34" s="44"/>
      <c r="N34" s="27"/>
      <c r="O34" s="13"/>
      <c r="P34" s="13"/>
      <c r="Q34" s="13"/>
      <c r="R34" s="19"/>
      <c r="S34" s="77" t="s">
        <v>80</v>
      </c>
      <c r="T34" s="76" t="s">
        <v>80</v>
      </c>
      <c r="U34" s="78" t="s">
        <v>79</v>
      </c>
      <c r="V34" s="76" t="s">
        <v>80</v>
      </c>
      <c r="W34" s="76"/>
    </row>
    <row r="35" spans="1:23" s="15" customFormat="1" ht="11.1" customHeight="1" x14ac:dyDescent="0.2">
      <c r="A35" s="40" t="s">
        <v>43</v>
      </c>
      <c r="B35" s="18" t="s">
        <v>64</v>
      </c>
      <c r="C35" s="81">
        <v>530</v>
      </c>
      <c r="D35" s="29">
        <v>530</v>
      </c>
      <c r="E35" s="10">
        <v>530</v>
      </c>
      <c r="F35" s="10"/>
      <c r="G35" s="10"/>
      <c r="H35" s="20"/>
      <c r="I35" s="66">
        <v>530</v>
      </c>
      <c r="J35" s="10">
        <v>530</v>
      </c>
      <c r="K35" s="10"/>
      <c r="L35" s="10"/>
      <c r="M35" s="45"/>
      <c r="N35" s="29">
        <v>530</v>
      </c>
      <c r="O35" s="10">
        <v>530</v>
      </c>
      <c r="P35" s="10"/>
      <c r="Q35" s="10"/>
      <c r="R35" s="20"/>
      <c r="S35" s="66">
        <v>530</v>
      </c>
      <c r="T35" s="10">
        <v>530</v>
      </c>
      <c r="U35" s="10"/>
      <c r="V35" s="10"/>
      <c r="W35" s="10"/>
    </row>
    <row r="36" spans="1:23" s="15" customFormat="1" ht="11.1" customHeight="1" x14ac:dyDescent="0.2">
      <c r="A36" s="40" t="s">
        <v>58</v>
      </c>
      <c r="B36" s="18" t="s">
        <v>72</v>
      </c>
      <c r="C36" s="45"/>
      <c r="D36" s="84">
        <v>530</v>
      </c>
      <c r="E36" s="10"/>
      <c r="F36" s="10">
        <v>530</v>
      </c>
      <c r="G36" s="10">
        <v>530</v>
      </c>
      <c r="H36" s="20"/>
      <c r="I36" s="66"/>
      <c r="J36" s="10"/>
      <c r="K36" s="10">
        <v>530</v>
      </c>
      <c r="L36" s="10">
        <v>530</v>
      </c>
      <c r="M36" s="81">
        <v>330</v>
      </c>
      <c r="N36" s="29"/>
      <c r="O36" s="10"/>
      <c r="P36" s="10">
        <v>530</v>
      </c>
      <c r="Q36" s="10">
        <v>530</v>
      </c>
      <c r="R36" s="20"/>
      <c r="S36" s="66"/>
      <c r="T36" s="10"/>
      <c r="U36" s="10">
        <v>530</v>
      </c>
      <c r="V36" s="10">
        <v>530</v>
      </c>
      <c r="W36" s="10"/>
    </row>
    <row r="37" spans="1:23" s="15" customFormat="1" ht="11.1" customHeight="1" x14ac:dyDescent="0.2">
      <c r="A37" s="40" t="s">
        <v>53</v>
      </c>
      <c r="B37" s="18" t="s">
        <v>72</v>
      </c>
      <c r="C37" s="48" t="s">
        <v>63</v>
      </c>
      <c r="D37" s="28">
        <v>730</v>
      </c>
      <c r="E37" s="10"/>
      <c r="F37" s="23">
        <v>730</v>
      </c>
      <c r="G37" s="82">
        <v>530</v>
      </c>
      <c r="H37" s="26">
        <v>730</v>
      </c>
      <c r="I37" s="67">
        <v>730</v>
      </c>
      <c r="J37" s="23">
        <v>730</v>
      </c>
      <c r="K37" s="24" t="s">
        <v>63</v>
      </c>
      <c r="L37" s="24" t="s">
        <v>63</v>
      </c>
      <c r="M37" s="48" t="s">
        <v>63</v>
      </c>
      <c r="N37" s="30" t="s">
        <v>63</v>
      </c>
      <c r="O37" s="24" t="s">
        <v>63</v>
      </c>
      <c r="P37" s="23">
        <v>730</v>
      </c>
      <c r="Q37" s="23">
        <v>730</v>
      </c>
      <c r="R37" s="26">
        <v>730</v>
      </c>
      <c r="S37" s="67">
        <v>730</v>
      </c>
      <c r="T37" s="23">
        <v>730</v>
      </c>
      <c r="U37" s="10"/>
      <c r="V37" s="23">
        <v>730</v>
      </c>
      <c r="W37" s="82">
        <v>530</v>
      </c>
    </row>
    <row r="38" spans="1:23" s="15" customFormat="1" ht="11.1" customHeight="1" x14ac:dyDescent="0.2">
      <c r="A38" s="40" t="s">
        <v>66</v>
      </c>
      <c r="B38" s="18" t="s">
        <v>69</v>
      </c>
      <c r="C38" s="49">
        <v>730</v>
      </c>
      <c r="D38" s="58">
        <v>930</v>
      </c>
      <c r="E38" s="10"/>
      <c r="F38" s="23">
        <v>730</v>
      </c>
      <c r="G38" s="23">
        <v>730</v>
      </c>
      <c r="H38" s="80">
        <v>530</v>
      </c>
      <c r="I38" s="69">
        <v>930</v>
      </c>
      <c r="J38" s="10"/>
      <c r="K38" s="23">
        <v>730</v>
      </c>
      <c r="L38" s="23">
        <v>730</v>
      </c>
      <c r="M38" s="81">
        <v>530</v>
      </c>
      <c r="N38" s="58">
        <v>930</v>
      </c>
      <c r="O38" s="23">
        <v>730</v>
      </c>
      <c r="P38" s="23">
        <v>730</v>
      </c>
      <c r="Q38" s="82">
        <v>530</v>
      </c>
      <c r="R38" s="20"/>
      <c r="S38" s="69">
        <v>930</v>
      </c>
      <c r="T38" s="23">
        <v>730</v>
      </c>
      <c r="U38" s="10"/>
      <c r="V38" s="23">
        <v>730</v>
      </c>
      <c r="W38" s="82">
        <v>530</v>
      </c>
    </row>
    <row r="39" spans="1:23" s="15" customFormat="1" ht="11.1" customHeight="1" x14ac:dyDescent="0.2">
      <c r="A39" s="40" t="s">
        <v>30</v>
      </c>
      <c r="B39" s="18"/>
      <c r="C39" s="50" t="s">
        <v>56</v>
      </c>
      <c r="D39" s="30" t="s">
        <v>63</v>
      </c>
      <c r="E39" s="24" t="s">
        <v>63</v>
      </c>
      <c r="F39" s="24" t="s">
        <v>63</v>
      </c>
      <c r="G39" s="24" t="s">
        <v>63</v>
      </c>
      <c r="H39" s="25" t="s">
        <v>63</v>
      </c>
      <c r="I39" s="66">
        <v>530</v>
      </c>
      <c r="J39" s="10">
        <v>530</v>
      </c>
      <c r="K39" s="10">
        <v>530</v>
      </c>
      <c r="L39" s="10">
        <v>530</v>
      </c>
      <c r="M39" s="81">
        <v>530</v>
      </c>
      <c r="N39" s="29">
        <v>530</v>
      </c>
      <c r="O39" s="10">
        <v>530</v>
      </c>
      <c r="P39" s="10">
        <v>530</v>
      </c>
      <c r="Q39" s="10">
        <v>530</v>
      </c>
      <c r="R39" s="60" t="s">
        <v>56</v>
      </c>
      <c r="S39" s="70" t="s">
        <v>63</v>
      </c>
      <c r="T39" s="24" t="s">
        <v>63</v>
      </c>
      <c r="U39" s="24" t="s">
        <v>63</v>
      </c>
      <c r="V39" s="24" t="s">
        <v>63</v>
      </c>
      <c r="W39" s="24" t="s">
        <v>63</v>
      </c>
    </row>
    <row r="40" spans="1:23" s="15" customFormat="1" ht="11.1" customHeight="1" x14ac:dyDescent="0.2">
      <c r="A40" s="40" t="s">
        <v>42</v>
      </c>
      <c r="B40" s="18" t="s">
        <v>68</v>
      </c>
      <c r="C40" s="49">
        <v>730</v>
      </c>
      <c r="D40" s="28">
        <v>730</v>
      </c>
      <c r="E40" s="23">
        <v>730</v>
      </c>
      <c r="F40" s="18" t="s">
        <v>56</v>
      </c>
      <c r="G40" s="23">
        <v>730</v>
      </c>
      <c r="H40" s="25" t="s">
        <v>63</v>
      </c>
      <c r="I40" s="65" t="s">
        <v>56</v>
      </c>
      <c r="J40" s="23">
        <v>730</v>
      </c>
      <c r="K40" s="18" t="s">
        <v>56</v>
      </c>
      <c r="L40" s="23">
        <v>730</v>
      </c>
      <c r="M40" s="49">
        <v>730</v>
      </c>
      <c r="N40" s="28">
        <v>730</v>
      </c>
      <c r="O40" s="23">
        <v>730</v>
      </c>
      <c r="P40" s="18" t="s">
        <v>56</v>
      </c>
      <c r="Q40" s="23">
        <v>730</v>
      </c>
      <c r="R40" s="25" t="s">
        <v>63</v>
      </c>
      <c r="S40" s="83">
        <v>530</v>
      </c>
      <c r="T40" s="23">
        <v>730</v>
      </c>
      <c r="U40" s="18" t="s">
        <v>56</v>
      </c>
      <c r="V40" s="23">
        <v>730</v>
      </c>
      <c r="W40" s="23">
        <v>730</v>
      </c>
    </row>
    <row r="41" spans="1:23" s="15" customFormat="1" ht="11.1" customHeight="1" x14ac:dyDescent="0.2">
      <c r="A41" s="40" t="s">
        <v>57</v>
      </c>
      <c r="B41" s="18" t="s">
        <v>70</v>
      </c>
      <c r="C41" s="49">
        <v>730</v>
      </c>
      <c r="D41" s="29"/>
      <c r="E41" s="59">
        <v>930</v>
      </c>
      <c r="F41" s="10"/>
      <c r="G41" s="23">
        <v>730</v>
      </c>
      <c r="H41" s="26">
        <v>730</v>
      </c>
      <c r="I41" s="70" t="s">
        <v>63</v>
      </c>
      <c r="J41" s="24" t="s">
        <v>63</v>
      </c>
      <c r="K41" s="24" t="s">
        <v>63</v>
      </c>
      <c r="L41" s="24" t="s">
        <v>63</v>
      </c>
      <c r="M41" s="48" t="s">
        <v>63</v>
      </c>
      <c r="N41" s="28">
        <v>730</v>
      </c>
      <c r="O41" s="59">
        <v>930</v>
      </c>
      <c r="P41" s="10"/>
      <c r="Q41" s="10"/>
      <c r="R41" s="26">
        <v>730</v>
      </c>
      <c r="S41" s="66"/>
      <c r="T41" s="23">
        <v>730</v>
      </c>
      <c r="U41" s="10"/>
      <c r="V41" s="23">
        <v>730</v>
      </c>
      <c r="W41" s="59">
        <v>930</v>
      </c>
    </row>
    <row r="42" spans="1:23" s="15" customFormat="1" ht="11.1" customHeight="1" x14ac:dyDescent="0.2">
      <c r="A42" s="39" t="s">
        <v>14</v>
      </c>
      <c r="B42" s="18" t="s">
        <v>73</v>
      </c>
      <c r="C42" s="44"/>
      <c r="D42" s="27"/>
      <c r="E42" s="13"/>
      <c r="F42" s="13"/>
      <c r="G42" s="13"/>
      <c r="H42" s="19"/>
      <c r="I42" s="64"/>
      <c r="J42" s="13"/>
      <c r="K42" s="13"/>
      <c r="L42" s="13"/>
      <c r="M42" s="44"/>
      <c r="N42" s="27"/>
      <c r="O42" s="13"/>
      <c r="P42" s="13"/>
      <c r="Q42" s="13"/>
      <c r="R42" s="19"/>
      <c r="S42" s="64"/>
      <c r="T42" s="13"/>
      <c r="U42" s="13"/>
      <c r="V42" s="13"/>
      <c r="W42" s="13">
        <v>530</v>
      </c>
    </row>
    <row r="43" spans="1:23" s="15" customFormat="1" ht="11.1" customHeight="1" x14ac:dyDescent="0.2">
      <c r="A43" s="40" t="s">
        <v>39</v>
      </c>
      <c r="B43" s="18"/>
      <c r="C43" s="55"/>
      <c r="D43" s="56"/>
      <c r="E43" s="54"/>
      <c r="F43" s="54"/>
      <c r="G43" s="54"/>
      <c r="H43" s="57"/>
      <c r="I43" s="68"/>
      <c r="J43" s="54"/>
      <c r="K43" s="54"/>
      <c r="L43" s="54"/>
      <c r="M43" s="55"/>
      <c r="N43" s="27"/>
      <c r="O43" s="76" t="s">
        <v>89</v>
      </c>
      <c r="P43" s="13"/>
      <c r="Q43" s="13"/>
      <c r="R43" s="19"/>
      <c r="S43" s="64"/>
      <c r="T43" s="13"/>
      <c r="U43" s="13"/>
      <c r="V43" s="13"/>
      <c r="W43" s="13"/>
    </row>
    <row r="44" spans="1:23" s="15" customFormat="1" ht="11.1" customHeight="1" x14ac:dyDescent="0.2">
      <c r="A44" s="39" t="s">
        <v>45</v>
      </c>
      <c r="B44" s="18" t="s">
        <v>69</v>
      </c>
      <c r="C44" s="55"/>
      <c r="D44" s="56"/>
      <c r="E44" s="54"/>
      <c r="F44" s="54"/>
      <c r="G44" s="54"/>
      <c r="H44" s="57"/>
      <c r="I44" s="68"/>
      <c r="J44" s="54"/>
      <c r="K44" s="54"/>
      <c r="L44" s="54"/>
      <c r="M44" s="55"/>
      <c r="N44" s="56"/>
      <c r="O44" s="54"/>
      <c r="P44" s="54"/>
      <c r="Q44" s="54"/>
      <c r="R44" s="57"/>
      <c r="S44" s="68"/>
      <c r="T44" s="54"/>
      <c r="U44" s="54"/>
      <c r="V44" s="54"/>
      <c r="W44" s="54"/>
    </row>
    <row r="45" spans="1:23" s="15" customFormat="1" ht="11.1" customHeight="1" x14ac:dyDescent="0.2">
      <c r="A45" s="39" t="s">
        <v>11</v>
      </c>
      <c r="B45" s="18" t="s">
        <v>70</v>
      </c>
      <c r="C45" s="44">
        <v>530</v>
      </c>
      <c r="D45" s="27"/>
      <c r="E45" s="13"/>
      <c r="F45" s="13"/>
      <c r="G45" s="13"/>
      <c r="H45" s="19"/>
      <c r="I45" s="64"/>
      <c r="J45" s="13"/>
      <c r="K45" s="13"/>
      <c r="L45" s="13">
        <v>530</v>
      </c>
      <c r="M45" s="44">
        <v>530</v>
      </c>
      <c r="N45" s="27"/>
      <c r="O45" s="13"/>
      <c r="P45" s="13">
        <v>530</v>
      </c>
      <c r="Q45" s="13"/>
      <c r="R45" s="19"/>
      <c r="S45" s="64"/>
      <c r="T45" s="13"/>
      <c r="U45" s="13"/>
      <c r="V45" s="13"/>
      <c r="W45" s="13"/>
    </row>
    <row r="46" spans="1:23" s="15" customFormat="1" ht="11.1" customHeight="1" x14ac:dyDescent="0.2">
      <c r="A46" s="40" t="s">
        <v>41</v>
      </c>
      <c r="B46" s="18" t="s">
        <v>64</v>
      </c>
      <c r="C46" s="45">
        <v>530</v>
      </c>
      <c r="D46" s="29">
        <v>530</v>
      </c>
      <c r="E46" s="10">
        <v>530</v>
      </c>
      <c r="F46" s="10">
        <v>530</v>
      </c>
      <c r="G46" s="10">
        <v>530</v>
      </c>
      <c r="H46" s="25" t="s">
        <v>63</v>
      </c>
      <c r="I46" s="66">
        <v>530</v>
      </c>
      <c r="J46" s="10"/>
      <c r="K46" s="10">
        <v>530</v>
      </c>
      <c r="L46" s="10">
        <v>530</v>
      </c>
      <c r="M46" s="45">
        <v>530</v>
      </c>
      <c r="N46" s="30" t="s">
        <v>63</v>
      </c>
      <c r="O46" s="10">
        <v>530</v>
      </c>
      <c r="P46" s="10">
        <v>530</v>
      </c>
      <c r="Q46" s="10">
        <v>530</v>
      </c>
      <c r="R46" s="20">
        <v>530</v>
      </c>
      <c r="S46" s="66">
        <v>530</v>
      </c>
      <c r="T46" s="10">
        <v>530</v>
      </c>
      <c r="U46" s="10"/>
      <c r="V46" s="10">
        <v>530</v>
      </c>
      <c r="W46" s="10">
        <v>530</v>
      </c>
    </row>
    <row r="47" spans="1:23" s="15" customFormat="1" ht="11.1" customHeight="1" x14ac:dyDescent="0.2">
      <c r="A47" s="40" t="s">
        <v>18</v>
      </c>
      <c r="B47" s="18" t="s">
        <v>71</v>
      </c>
      <c r="C47" s="48" t="s">
        <v>63</v>
      </c>
      <c r="D47" s="28">
        <v>730</v>
      </c>
      <c r="E47" s="18" t="s">
        <v>56</v>
      </c>
      <c r="F47" s="23">
        <v>730</v>
      </c>
      <c r="G47" s="18" t="s">
        <v>56</v>
      </c>
      <c r="H47" s="26">
        <v>730</v>
      </c>
      <c r="I47" s="67">
        <v>730</v>
      </c>
      <c r="J47" s="18" t="s">
        <v>56</v>
      </c>
      <c r="K47" s="23">
        <v>730</v>
      </c>
      <c r="L47" s="18" t="s">
        <v>56</v>
      </c>
      <c r="M47" s="48" t="s">
        <v>63</v>
      </c>
      <c r="N47" s="30" t="s">
        <v>63</v>
      </c>
      <c r="O47" s="18" t="s">
        <v>56</v>
      </c>
      <c r="P47" s="23">
        <v>730</v>
      </c>
      <c r="Q47" s="18" t="s">
        <v>56</v>
      </c>
      <c r="R47" s="26">
        <v>730</v>
      </c>
      <c r="S47" s="67">
        <v>730</v>
      </c>
      <c r="T47" s="18" t="s">
        <v>56</v>
      </c>
      <c r="U47" s="23">
        <v>730</v>
      </c>
      <c r="V47" s="18" t="s">
        <v>56</v>
      </c>
      <c r="W47" s="23">
        <v>730</v>
      </c>
    </row>
    <row r="48" spans="1:23" s="15" customFormat="1" ht="11.1" customHeight="1" x14ac:dyDescent="0.2">
      <c r="A48" s="40" t="s">
        <v>38</v>
      </c>
      <c r="B48" s="18"/>
      <c r="C48" s="49">
        <v>730</v>
      </c>
      <c r="D48" s="28">
        <v>730</v>
      </c>
      <c r="E48" s="18" t="s">
        <v>56</v>
      </c>
      <c r="F48" s="23">
        <v>730</v>
      </c>
      <c r="G48" s="82">
        <v>530</v>
      </c>
      <c r="H48" s="26">
        <v>730</v>
      </c>
      <c r="I48" s="67">
        <v>730</v>
      </c>
      <c r="J48" s="18" t="s">
        <v>56</v>
      </c>
      <c r="K48" s="23">
        <v>730</v>
      </c>
      <c r="L48" s="82">
        <v>530</v>
      </c>
      <c r="M48" s="49">
        <v>730</v>
      </c>
      <c r="N48" s="29"/>
      <c r="O48" s="18" t="s">
        <v>56</v>
      </c>
      <c r="P48" s="23">
        <v>730</v>
      </c>
      <c r="Q48" s="23">
        <v>730</v>
      </c>
      <c r="R48" s="26">
        <v>730</v>
      </c>
      <c r="S48" s="67">
        <v>730</v>
      </c>
      <c r="T48" s="18" t="s">
        <v>56</v>
      </c>
      <c r="U48" s="23">
        <v>730</v>
      </c>
      <c r="V48" s="10"/>
      <c r="W48" s="23">
        <v>730</v>
      </c>
    </row>
    <row r="49" spans="1:23" s="15" customFormat="1" ht="11.1" customHeight="1" x14ac:dyDescent="0.2">
      <c r="A49" s="40" t="s">
        <v>32</v>
      </c>
      <c r="B49" s="18"/>
      <c r="C49" s="49">
        <v>730</v>
      </c>
      <c r="D49" s="29"/>
      <c r="E49" s="23">
        <v>730</v>
      </c>
      <c r="F49" s="23">
        <v>730</v>
      </c>
      <c r="G49" s="10"/>
      <c r="H49" s="26">
        <v>730</v>
      </c>
      <c r="I49" s="66"/>
      <c r="J49" s="23">
        <v>730</v>
      </c>
      <c r="K49" s="23">
        <v>730</v>
      </c>
      <c r="L49" s="10"/>
      <c r="M49" s="49">
        <v>730</v>
      </c>
      <c r="N49" s="28">
        <v>730</v>
      </c>
      <c r="O49" s="10"/>
      <c r="P49" s="10"/>
      <c r="Q49" s="23">
        <v>730</v>
      </c>
      <c r="R49" s="26">
        <v>730</v>
      </c>
      <c r="S49" s="66"/>
      <c r="T49" s="23">
        <v>730</v>
      </c>
      <c r="U49" s="23">
        <v>730</v>
      </c>
      <c r="V49" s="23">
        <v>730</v>
      </c>
      <c r="W49" s="24" t="s">
        <v>63</v>
      </c>
    </row>
    <row r="50" spans="1:23" s="15" customFormat="1" ht="11.1" customHeight="1" x14ac:dyDescent="0.2">
      <c r="A50" s="41" t="s">
        <v>29</v>
      </c>
      <c r="B50" s="18"/>
      <c r="C50" s="48" t="s">
        <v>63</v>
      </c>
      <c r="D50" s="31">
        <v>330</v>
      </c>
      <c r="E50" s="12">
        <v>330</v>
      </c>
      <c r="F50" s="12">
        <v>330</v>
      </c>
      <c r="G50" s="12">
        <v>330</v>
      </c>
      <c r="H50" s="32">
        <v>330</v>
      </c>
      <c r="I50" s="71">
        <v>330</v>
      </c>
      <c r="J50" s="12">
        <v>330</v>
      </c>
      <c r="K50" s="12">
        <v>330</v>
      </c>
      <c r="L50" s="12">
        <v>330</v>
      </c>
      <c r="M50" s="46">
        <v>330</v>
      </c>
      <c r="N50" s="31">
        <v>330</v>
      </c>
      <c r="O50" s="12">
        <v>330</v>
      </c>
      <c r="P50" s="12">
        <v>330</v>
      </c>
      <c r="Q50" s="12">
        <v>330</v>
      </c>
      <c r="R50" s="32">
        <v>330</v>
      </c>
      <c r="S50" s="71">
        <v>330</v>
      </c>
      <c r="T50" s="12">
        <v>330</v>
      </c>
      <c r="U50" s="12">
        <v>330</v>
      </c>
      <c r="V50" s="12">
        <v>330</v>
      </c>
      <c r="W50" s="12">
        <v>330</v>
      </c>
    </row>
    <row r="51" spans="1:23" s="15" customFormat="1" ht="11.1" customHeight="1" x14ac:dyDescent="0.2">
      <c r="A51" s="41" t="s">
        <v>27</v>
      </c>
      <c r="B51" s="18"/>
      <c r="C51" s="46">
        <v>330</v>
      </c>
      <c r="D51" s="30" t="s">
        <v>63</v>
      </c>
      <c r="E51" s="12">
        <v>330</v>
      </c>
      <c r="F51" s="12">
        <v>330</v>
      </c>
      <c r="G51" s="12">
        <v>330</v>
      </c>
      <c r="H51" s="32">
        <v>330</v>
      </c>
      <c r="I51" s="71">
        <v>330</v>
      </c>
      <c r="J51" s="12">
        <v>330</v>
      </c>
      <c r="K51" s="12">
        <v>330</v>
      </c>
      <c r="L51" s="12">
        <v>330</v>
      </c>
      <c r="M51" s="46">
        <v>330</v>
      </c>
      <c r="N51" s="31">
        <v>330</v>
      </c>
      <c r="O51" s="12">
        <v>330</v>
      </c>
      <c r="P51" s="12">
        <v>330</v>
      </c>
      <c r="Q51" s="12">
        <v>330</v>
      </c>
      <c r="R51" s="32">
        <v>330</v>
      </c>
      <c r="S51" s="71">
        <v>330</v>
      </c>
      <c r="T51" s="12">
        <v>330</v>
      </c>
      <c r="U51" s="12">
        <v>330</v>
      </c>
      <c r="V51" s="12">
        <v>330</v>
      </c>
      <c r="W51" s="12">
        <v>330</v>
      </c>
    </row>
    <row r="52" spans="1:23" s="15" customFormat="1" ht="11.1" customHeight="1" x14ac:dyDescent="0.2">
      <c r="A52" s="41" t="s">
        <v>28</v>
      </c>
      <c r="B52" s="18"/>
      <c r="C52" s="46">
        <v>330</v>
      </c>
      <c r="D52" s="31">
        <v>330</v>
      </c>
      <c r="E52" s="12">
        <v>330</v>
      </c>
      <c r="F52" s="12">
        <v>330</v>
      </c>
      <c r="G52" s="12">
        <v>330</v>
      </c>
      <c r="H52" s="32">
        <v>330</v>
      </c>
      <c r="I52" s="71">
        <v>330</v>
      </c>
      <c r="J52" s="12">
        <v>330</v>
      </c>
      <c r="K52" s="12">
        <v>330</v>
      </c>
      <c r="L52" s="12">
        <v>330</v>
      </c>
      <c r="M52" s="46">
        <v>330</v>
      </c>
      <c r="N52" s="31">
        <v>330</v>
      </c>
      <c r="O52" s="12">
        <v>330</v>
      </c>
      <c r="P52" s="12">
        <v>330</v>
      </c>
      <c r="Q52" s="12">
        <v>330</v>
      </c>
      <c r="R52" s="32">
        <v>330</v>
      </c>
      <c r="S52" s="71">
        <v>330</v>
      </c>
      <c r="T52" s="12">
        <v>330</v>
      </c>
      <c r="U52" s="12">
        <v>330</v>
      </c>
      <c r="V52" s="12">
        <v>330</v>
      </c>
      <c r="W52" s="12">
        <v>330</v>
      </c>
    </row>
    <row r="53" spans="1:23" s="15" customFormat="1" ht="11.1" customHeight="1" x14ac:dyDescent="0.2">
      <c r="A53" s="41" t="s">
        <v>31</v>
      </c>
      <c r="B53" s="18"/>
      <c r="C53" s="46">
        <v>330</v>
      </c>
      <c r="D53" s="31">
        <v>330</v>
      </c>
      <c r="E53" s="12">
        <v>330</v>
      </c>
      <c r="F53" s="12">
        <v>330</v>
      </c>
      <c r="G53" s="12">
        <v>330</v>
      </c>
      <c r="H53" s="32">
        <v>330</v>
      </c>
      <c r="I53" s="71">
        <v>330</v>
      </c>
      <c r="J53" s="12">
        <v>330</v>
      </c>
      <c r="K53" s="12">
        <v>330</v>
      </c>
      <c r="L53" s="12">
        <v>330</v>
      </c>
      <c r="M53" s="48" t="s">
        <v>63</v>
      </c>
      <c r="N53" s="30" t="s">
        <v>63</v>
      </c>
      <c r="O53" s="24" t="s">
        <v>63</v>
      </c>
      <c r="P53" s="12">
        <v>330</v>
      </c>
      <c r="Q53" s="12">
        <v>330</v>
      </c>
      <c r="R53" s="32">
        <v>330</v>
      </c>
      <c r="S53" s="71">
        <v>330</v>
      </c>
      <c r="T53" s="12">
        <v>330</v>
      </c>
      <c r="U53" s="12">
        <v>330</v>
      </c>
      <c r="V53" s="12">
        <v>330</v>
      </c>
      <c r="W53" s="12">
        <v>330</v>
      </c>
    </row>
    <row r="54" spans="1:23" s="4" customFormat="1" ht="6" customHeight="1" x14ac:dyDescent="0.2">
      <c r="A54" s="47" t="s">
        <v>8</v>
      </c>
      <c r="B54" s="74"/>
      <c r="C54" s="51">
        <f t="shared" ref="C54:W54" si="0">COUNT(C4:C53)</f>
        <v>24</v>
      </c>
      <c r="D54" s="52">
        <f t="shared" si="0"/>
        <v>24</v>
      </c>
      <c r="E54" s="14">
        <f t="shared" si="0"/>
        <v>22</v>
      </c>
      <c r="F54" s="14">
        <f t="shared" si="0"/>
        <v>24</v>
      </c>
      <c r="G54" s="14">
        <f t="shared" si="0"/>
        <v>23</v>
      </c>
      <c r="H54" s="53">
        <f t="shared" si="0"/>
        <v>25</v>
      </c>
      <c r="I54" s="72">
        <f t="shared" si="0"/>
        <v>25</v>
      </c>
      <c r="J54" s="14">
        <f t="shared" si="0"/>
        <v>23</v>
      </c>
      <c r="K54" s="14">
        <f t="shared" si="0"/>
        <v>25</v>
      </c>
      <c r="L54" s="14">
        <f t="shared" si="0"/>
        <v>25</v>
      </c>
      <c r="M54" s="51">
        <f t="shared" si="0"/>
        <v>23</v>
      </c>
      <c r="N54" s="52">
        <f t="shared" si="0"/>
        <v>26</v>
      </c>
      <c r="O54" s="14">
        <f t="shared" si="0"/>
        <v>23</v>
      </c>
      <c r="P54" s="14">
        <f t="shared" si="0"/>
        <v>24</v>
      </c>
      <c r="Q54" s="14">
        <f t="shared" si="0"/>
        <v>26</v>
      </c>
      <c r="R54" s="53">
        <f t="shared" si="0"/>
        <v>25</v>
      </c>
      <c r="S54" s="72">
        <f t="shared" si="0"/>
        <v>23</v>
      </c>
      <c r="T54" s="14">
        <f t="shared" si="0"/>
        <v>24</v>
      </c>
      <c r="U54" s="14">
        <f t="shared" si="0"/>
        <v>25</v>
      </c>
      <c r="V54" s="14">
        <f t="shared" si="0"/>
        <v>24</v>
      </c>
      <c r="W54" s="14">
        <f t="shared" si="0"/>
        <v>23</v>
      </c>
    </row>
    <row r="55" spans="1:23" s="4" customFormat="1" ht="6" customHeight="1" x14ac:dyDescent="0.2">
      <c r="A55" s="42" t="s">
        <v>7</v>
      </c>
      <c r="B55" s="74"/>
      <c r="C55" s="51">
        <v>21</v>
      </c>
      <c r="D55" s="52">
        <v>22</v>
      </c>
      <c r="E55" s="14">
        <v>21</v>
      </c>
      <c r="F55" s="14">
        <v>25</v>
      </c>
      <c r="G55" s="14">
        <v>22</v>
      </c>
      <c r="H55" s="53">
        <v>25</v>
      </c>
      <c r="I55" s="72">
        <v>24</v>
      </c>
      <c r="J55" s="14">
        <v>21</v>
      </c>
      <c r="K55" s="14">
        <v>26</v>
      </c>
      <c r="L55" s="14">
        <v>23</v>
      </c>
      <c r="M55" s="51">
        <v>21</v>
      </c>
      <c r="N55" s="52">
        <v>24</v>
      </c>
      <c r="O55" s="14">
        <v>23</v>
      </c>
      <c r="P55" s="14">
        <v>24</v>
      </c>
      <c r="Q55" s="14">
        <v>26</v>
      </c>
      <c r="R55" s="53">
        <v>21</v>
      </c>
      <c r="S55" s="72">
        <v>24</v>
      </c>
      <c r="T55" s="14">
        <v>24</v>
      </c>
      <c r="U55" s="14">
        <v>23</v>
      </c>
      <c r="V55" s="14">
        <v>24</v>
      </c>
      <c r="W55" s="14">
        <v>25</v>
      </c>
    </row>
    <row r="56" spans="1:23" s="3" customFormat="1" ht="6" customHeight="1" x14ac:dyDescent="0.2">
      <c r="A56" s="43" t="s">
        <v>6</v>
      </c>
      <c r="B56" s="74"/>
      <c r="C56" s="51">
        <f t="shared" ref="C56:H56" si="1">C55-C54</f>
        <v>-3</v>
      </c>
      <c r="D56" s="52">
        <f t="shared" si="1"/>
        <v>-2</v>
      </c>
      <c r="E56" s="14">
        <f t="shared" si="1"/>
        <v>-1</v>
      </c>
      <c r="F56" s="14">
        <f t="shared" si="1"/>
        <v>1</v>
      </c>
      <c r="G56" s="14">
        <f t="shared" si="1"/>
        <v>-1</v>
      </c>
      <c r="H56" s="53">
        <f t="shared" si="1"/>
        <v>0</v>
      </c>
      <c r="I56" s="72">
        <f t="shared" ref="I56:R56" si="2">I55-I54</f>
        <v>-1</v>
      </c>
      <c r="J56" s="14">
        <f t="shared" si="2"/>
        <v>-2</v>
      </c>
      <c r="K56" s="14">
        <f t="shared" si="2"/>
        <v>1</v>
      </c>
      <c r="L56" s="14">
        <f t="shared" si="2"/>
        <v>-2</v>
      </c>
      <c r="M56" s="51">
        <f t="shared" si="2"/>
        <v>-2</v>
      </c>
      <c r="N56" s="52">
        <f t="shared" si="2"/>
        <v>-2</v>
      </c>
      <c r="O56" s="14">
        <f t="shared" si="2"/>
        <v>0</v>
      </c>
      <c r="P56" s="14">
        <f t="shared" si="2"/>
        <v>0</v>
      </c>
      <c r="Q56" s="14">
        <f t="shared" si="2"/>
        <v>0</v>
      </c>
      <c r="R56" s="53">
        <f t="shared" si="2"/>
        <v>-4</v>
      </c>
      <c r="S56" s="72">
        <f>S55-S54</f>
        <v>1</v>
      </c>
      <c r="T56" s="14">
        <f>T55-T54</f>
        <v>0</v>
      </c>
      <c r="U56" s="14">
        <f>U55-U54</f>
        <v>-2</v>
      </c>
      <c r="V56" s="14">
        <f>V55-V54</f>
        <v>0</v>
      </c>
      <c r="W56" s="14">
        <f>W55-W54</f>
        <v>2</v>
      </c>
    </row>
    <row r="58" spans="1:23" x14ac:dyDescent="0.2">
      <c r="A58" s="85" t="s">
        <v>83</v>
      </c>
    </row>
    <row r="59" spans="1:23" ht="11.25" customHeight="1" x14ac:dyDescent="0.2">
      <c r="A59" s="86" t="s">
        <v>84</v>
      </c>
    </row>
    <row r="60" spans="1:23" ht="11.25" customHeight="1" x14ac:dyDescent="0.2">
      <c r="A60" s="87" t="s">
        <v>85</v>
      </c>
    </row>
    <row r="61" spans="1:23" ht="12" customHeight="1" x14ac:dyDescent="0.2">
      <c r="A61" s="87" t="s">
        <v>86</v>
      </c>
    </row>
    <row r="62" spans="1:23" ht="15" x14ac:dyDescent="0.25">
      <c r="A62" s="88" t="s">
        <v>63</v>
      </c>
    </row>
    <row r="63" spans="1:23" ht="15" x14ac:dyDescent="0.25">
      <c r="A63" s="89" t="s">
        <v>87</v>
      </c>
    </row>
    <row r="64" spans="1:23" ht="15" x14ac:dyDescent="0.25">
      <c r="A64" s="90" t="s">
        <v>82</v>
      </c>
    </row>
    <row r="65" spans="1:1" ht="15" x14ac:dyDescent="0.25">
      <c r="A65" s="8"/>
    </row>
    <row r="66" spans="1:1" ht="15" x14ac:dyDescent="0.25">
      <c r="A66" s="8"/>
    </row>
    <row r="67" spans="1:1" ht="17.25" x14ac:dyDescent="0.25">
      <c r="A67" s="9"/>
    </row>
    <row r="68" spans="1:1" ht="15.75" x14ac:dyDescent="0.25">
      <c r="A68" s="7"/>
    </row>
    <row r="69" spans="1:1" ht="15.75" x14ac:dyDescent="0.25">
      <c r="A69" s="7"/>
    </row>
    <row r="70" spans="1:1" ht="15.75" x14ac:dyDescent="0.25">
      <c r="A70" s="7"/>
    </row>
  </sheetData>
  <mergeCells count="1">
    <mergeCell ref="A1:W1"/>
  </mergeCells>
  <phoneticPr fontId="1" type="noConversion"/>
  <printOptions horizontalCentered="1" verticalCentered="1"/>
  <pageMargins left="0" right="0" top="0" bottom="0" header="0.17" footer="0.26"/>
  <pageSetup scale="9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A86B-D75F-4D45-9646-9347D7D728EC}">
  <dimension ref="A1:F6"/>
  <sheetViews>
    <sheetView workbookViewId="0">
      <selection activeCell="B7" sqref="B7"/>
    </sheetView>
  </sheetViews>
  <sheetFormatPr defaultRowHeight="12.75" x14ac:dyDescent="0.2"/>
  <cols>
    <col min="2" max="2" width="14.7109375" customWidth="1"/>
    <col min="4" max="4" width="18.5703125" customWidth="1"/>
    <col min="6" max="6" width="19.28515625" customWidth="1"/>
  </cols>
  <sheetData>
    <row r="1" spans="1:6" x14ac:dyDescent="0.2">
      <c r="C1" s="11" t="s">
        <v>22</v>
      </c>
    </row>
    <row r="2" spans="1:6" x14ac:dyDescent="0.2">
      <c r="B2" s="11" t="s">
        <v>19</v>
      </c>
      <c r="D2" s="11" t="s">
        <v>20</v>
      </c>
      <c r="F2" s="11" t="s">
        <v>21</v>
      </c>
    </row>
    <row r="3" spans="1:6" x14ac:dyDescent="0.2">
      <c r="A3">
        <v>2016</v>
      </c>
      <c r="B3" s="11" t="s">
        <v>23</v>
      </c>
    </row>
    <row r="4" spans="1:6" x14ac:dyDescent="0.2">
      <c r="B4" s="11" t="s">
        <v>24</v>
      </c>
    </row>
    <row r="5" spans="1:6" x14ac:dyDescent="0.2">
      <c r="B5" s="11" t="s">
        <v>25</v>
      </c>
    </row>
    <row r="6" spans="1:6" x14ac:dyDescent="0.2">
      <c r="B6" s="11" t="s">
        <v>26</v>
      </c>
    </row>
  </sheetData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8776-B04B-4C75-A93C-C49C906E5308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pageSetup paperSize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18A7-D404-4636-9D4F-7C26E8C8267F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Chart1</vt:lpstr>
      <vt:lpstr>Sheet1!Print_Area</vt:lpstr>
    </vt:vector>
  </TitlesOfParts>
  <Company>Cleveland Clinic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virtb</dc:creator>
  <cp:lastModifiedBy>Jonah Dagher</cp:lastModifiedBy>
  <cp:lastPrinted>2025-12-17T20:11:46Z</cp:lastPrinted>
  <dcterms:created xsi:type="dcterms:W3CDTF">2009-12-11T20:53:32Z</dcterms:created>
  <dcterms:modified xsi:type="dcterms:W3CDTF">2026-01-12T01:50:37Z</dcterms:modified>
</cp:coreProperties>
</file>